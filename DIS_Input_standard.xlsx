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A UEH_UNIVERSITY\MONEY\SCmission\dashboard\"/>
    </mc:Choice>
  </mc:AlternateContent>
  <xr:revisionPtr revIDLastSave="0" documentId="13_ncr:1_{1B31DD13-BC79-404A-82DA-68D348536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Pipeline_Source" sheetId="2" r:id="rId2"/>
    <sheet name="Priority_Orders" sheetId="3" r:id="rId3"/>
    <sheet name="Scenario_Config" sheetId="4" r:id="rId4"/>
    <sheet name="Tracked_Pipeline_Loads" sheetId="5" r:id="rId5"/>
    <sheet name="Disruption_Simulation" sheetId="6" r:id="rId6"/>
    <sheet name="Cost_Comparison" sheetId="12" r:id="rId7"/>
    <sheet name="Cost_Assumptions" sheetId="7" r:id="rId8"/>
    <sheet name="Freight_Rate_Master" sheetId="16" r:id="rId9"/>
    <sheet name="Lane_LeadTime_Master" sheetId="17" r:id="rId10"/>
    <sheet name="Peak_Window_Master" sheetId="18" r:id="rId11"/>
    <sheet name="DC_Inventory_Input" sheetId="8" r:id="rId12"/>
    <sheet name="Distributor_Input" sheetId="9" r:id="rId13"/>
    <sheet name="Decision_Rules" sheetId="10" r:id="rId14"/>
    <sheet name="Action_Catalog" sheetId="11" r:id="rId15"/>
    <sheet name="Distributor_Master" sheetId="13" r:id="rId16"/>
    <sheet name="Backup_Distributor_Plan" sheetId="1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 a="1"/>
  <c r="A2" i="5" s="1"/>
  <c r="F3" i="8" l="1"/>
  <c r="C4" i="7"/>
  <c r="S5" i="6"/>
  <c r="S4" i="6"/>
  <c r="F2" i="9"/>
  <c r="G3" i="12"/>
  <c r="G2" i="12"/>
  <c r="D3" i="12"/>
  <c r="E3" i="12" s="1"/>
  <c r="D2" i="12"/>
  <c r="E2" i="12" s="1"/>
  <c r="H6" i="13"/>
  <c r="H5" i="13"/>
  <c r="H4" i="13"/>
  <c r="H3" i="13"/>
  <c r="H2" i="13"/>
  <c r="C3" i="12"/>
  <c r="B3" i="12"/>
  <c r="F3" i="12" s="1"/>
  <c r="A3" i="12"/>
  <c r="C2" i="12"/>
  <c r="B2" i="12"/>
  <c r="F2" i="12" s="1"/>
  <c r="A2" i="12"/>
  <c r="L4" i="9"/>
  <c r="M4" i="9" s="1"/>
  <c r="F4" i="9"/>
  <c r="L3" i="9"/>
  <c r="M3" i="9" s="1"/>
  <c r="F3" i="9"/>
  <c r="L2" i="9"/>
  <c r="M2" i="9" s="1"/>
  <c r="G5" i="6"/>
  <c r="F5" i="6"/>
  <c r="E5" i="6"/>
  <c r="D5" i="6"/>
  <c r="C5" i="6"/>
  <c r="B5" i="6"/>
  <c r="A5" i="6"/>
  <c r="G4" i="6"/>
  <c r="F4" i="6"/>
  <c r="E4" i="6"/>
  <c r="D4" i="6"/>
  <c r="C4" i="6"/>
  <c r="B4" i="6"/>
  <c r="A4" i="6"/>
  <c r="E3" i="8" l="1"/>
  <c r="G3" i="8" s="1"/>
  <c r="I3" i="8" s="1"/>
  <c r="J3" i="8" s="1"/>
  <c r="K3" i="8" s="1"/>
  <c r="F4" i="8"/>
  <c r="F5" i="8"/>
  <c r="F2" i="8"/>
  <c r="E5" i="8"/>
  <c r="G5" i="8" s="1"/>
  <c r="I5" i="8" s="1"/>
  <c r="J5" i="8" s="1"/>
  <c r="K5" i="8" s="1"/>
  <c r="E4" i="8"/>
  <c r="G4" i="8" s="1"/>
  <c r="I4" i="8" s="1"/>
  <c r="J4" i="8" s="1"/>
  <c r="K4" i="8" s="1"/>
  <c r="E2" i="8"/>
  <c r="G2" i="8" s="1"/>
  <c r="I2" i="8" s="1"/>
  <c r="H2" i="12"/>
  <c r="H3" i="12"/>
  <c r="I3" i="12"/>
  <c r="I2" i="12"/>
  <c r="J3" i="12" l="1"/>
  <c r="J2" i="12"/>
  <c r="H5" i="6" l="1"/>
  <c r="H4" i="6"/>
  <c r="N4" i="6" l="1"/>
  <c r="I4" i="6"/>
  <c r="J4" i="6"/>
  <c r="O4" i="6"/>
  <c r="K4" i="6"/>
  <c r="J5" i="6"/>
  <c r="K5" i="6"/>
  <c r="N5" i="6"/>
  <c r="O5" i="6"/>
  <c r="I5" i="6"/>
  <c r="L5" i="6" l="1"/>
  <c r="M5" i="6" s="1"/>
  <c r="P5" i="6" s="1"/>
  <c r="L4" i="6"/>
  <c r="M4" i="6" s="1"/>
  <c r="Q4" i="6" s="1"/>
  <c r="R4" i="6" l="1"/>
  <c r="K2" i="12" s="1"/>
  <c r="L2" i="12" s="1"/>
  <c r="P4" i="6"/>
  <c r="Q5" i="6"/>
  <c r="R5" i="6"/>
  <c r="T4" i="6" l="1"/>
  <c r="K3" i="12"/>
  <c r="L3" i="12" s="1"/>
  <c r="T5" i="6"/>
  <c r="J2" i="8" l="1"/>
  <c r="K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<sst xmlns="http://schemas.openxmlformats.org/spreadsheetml/2006/main" count="899" uniqueCount="351">
  <si>
    <t>DIS_Input_standard.xlsx</t>
  </si>
  <si>
    <t>Purpose</t>
  </si>
  <si>
    <t>Scenario and decision-input layer for Power BI. SOTA.xlsx remains the main source; Pipeline_Source is a lightweight mirror used only for Excel formulas.</t>
  </si>
  <si>
    <t>Flow</t>
  </si>
  <si>
    <t>SOTA.xlsx + DIS_Input_standard.xlsx → Refresh Power BI → Dashboard → Slides PDF</t>
  </si>
  <si>
    <t>How to use</t>
  </si>
  <si>
    <t>1) Update Priority_Orders with exact Batch / Load IDs from SOTA/Pipeline_Source. 2) Change active scenario in Scenario_Config. 3) Refresh Power BI.</t>
  </si>
  <si>
    <t>Key rule</t>
  </si>
  <si>
    <t>Batch / Load keep track must match Pipeline_Source[Batch / Load].</t>
  </si>
  <si>
    <t>Simulation logic</t>
  </si>
  <si>
    <t>Tracked_Pipeline_Loads pulls only selected loads; Disruption_Simulation calculates New ETA vs peak window.</t>
  </si>
  <si>
    <t>Pipeline source</t>
  </si>
  <si>
    <t>Pipeline_Source is copied from uploaded SOTA.xlsx so the workbook can calculate without manual copy-paste.</t>
  </si>
  <si>
    <t>Distributor selection</t>
  </si>
  <si>
    <t>US = PlayGiant USA; UK = BrightToy UK; AU = DownUnder Toys.</t>
  </si>
  <si>
    <t>Power BI use</t>
  </si>
  <si>
    <t>Load the input tables plus Tracked_Pipeline_Loads and Disruption_Simulation.</t>
  </si>
  <si>
    <t>Editable sheets</t>
  </si>
  <si>
    <t>Priority_Orders, Scenario_Config, DC_Inventory_Input, Distributor_Input, Cost_Assumptions.</t>
  </si>
  <si>
    <t>Do not edit</t>
  </si>
  <si>
    <t>Pipeline_Source, Decision_Rules, Action_Catalog unless changing methodology.</t>
  </si>
  <si>
    <t>Added sheets</t>
  </si>
  <si>
    <t>Cost_Comparison, Distributor_Master, Distributor_SLA_Input, Backup_Distributor_Plan were restored from the older DIS input structure.</t>
  </si>
  <si>
    <t>Cost logic</t>
  </si>
  <si>
    <t>Cost_Comparison uses Priority_Orders + Scenario_Config + Cost_Assumptions. Recommendation depends on Disruption_Simulation status.</t>
  </si>
  <si>
    <t>Distributor logic</t>
  </si>
  <si>
    <t>Distributor_Master stores selection/scoring context; Distributor_SLA_Input stores rolling SLA monitoring; Distributor_Input remains a compact Power BI-ready combined view.</t>
  </si>
  <si>
    <t>Inventory logic</t>
  </si>
  <si>
    <t>DC_Inventory_Input now includes calculated coverage/status fields with clean formulas.</t>
  </si>
  <si>
    <t>SKU</t>
  </si>
  <si>
    <t>Qty</t>
  </si>
  <si>
    <t>Market</t>
  </si>
  <si>
    <t>Destination DC</t>
  </si>
  <si>
    <t>Departure Date</t>
  </si>
  <si>
    <t>Seasonal Status</t>
  </si>
  <si>
    <t>Proposed Action</t>
  </si>
  <si>
    <t>Load Type</t>
  </si>
  <si>
    <t>Product CBM</t>
  </si>
  <si>
    <t>Load Used CBM</t>
  </si>
  <si>
    <t>Load Slack CBM</t>
  </si>
  <si>
    <t>Notes</t>
  </si>
  <si>
    <t>A</t>
  </si>
  <si>
    <t>US</t>
  </si>
  <si>
    <t>DC-US-W</t>
  </si>
  <si>
    <t>EARLY BEFORE SS1</t>
  </si>
  <si>
    <t>Hold at DC-US-W / consolidate until SS1 window</t>
  </si>
  <si>
    <t>20</t>
  </si>
  <si>
    <t>DC-US-E</t>
  </si>
  <si>
    <t>Hold at DC-US-E / consolidate until SS1 window</t>
  </si>
  <si>
    <t>LCL</t>
  </si>
  <si>
    <t>C</t>
  </si>
  <si>
    <t>UK</t>
  </si>
  <si>
    <t>DC-UK</t>
  </si>
  <si>
    <t>BETWEEN SS1 &amp; SS2</t>
  </si>
  <si>
    <t>Missed SS1; hold or reallocate for SS2 demand</t>
  </si>
  <si>
    <t>F</t>
  </si>
  <si>
    <t>B</t>
  </si>
  <si>
    <t>AU</t>
  </si>
  <si>
    <t>E</t>
  </si>
  <si>
    <t>DC-AU</t>
  </si>
  <si>
    <t>40</t>
  </si>
  <si>
    <t>D</t>
  </si>
  <si>
    <t>DC</t>
  </si>
  <si>
    <t>IN SS1 WINDOW</t>
  </si>
  <si>
    <t>Ship as planned / prioritize SS1 demand</t>
  </si>
  <si>
    <t>Order ID</t>
  </si>
  <si>
    <t>Batch / Load keep track</t>
  </si>
  <si>
    <t>Priority</t>
  </si>
  <si>
    <t>Input note</t>
  </si>
  <si>
    <t>Use exact Batch / Load ID from Pipeline_Source, e.g., US-W05-LCL-DC-US-E.</t>
  </si>
  <si>
    <t>PO-US-A-001</t>
  </si>
  <si>
    <t>High</t>
  </si>
  <si>
    <t>Why</t>
  </si>
  <si>
    <t>This maps priority orders to specific loads for tracking.</t>
  </si>
  <si>
    <t>PO-UK-A-001</t>
  </si>
  <si>
    <t>Do not use</t>
  </si>
  <si>
    <t>Do not use only 40ft FCL / 20ft FCL / LCL as the ID.</t>
  </si>
  <si>
    <t>Power BI relation</t>
  </si>
  <si>
    <t>Priority_Orders[Batch / Load keep track] → Tracked_Pipeline_Loads[Batch / Load]</t>
  </si>
  <si>
    <t>Editable columns</t>
  </si>
  <si>
    <t>Only Batch / Load keep track should usually be changed.</t>
  </si>
  <si>
    <t>Scenario ID</t>
  </si>
  <si>
    <t>Scenario Name</t>
  </si>
  <si>
    <t>Active</t>
  </si>
  <si>
    <t>US-E LT Increase</t>
  </si>
  <si>
    <t>UK LT Increase</t>
  </si>
  <si>
    <t>Container Cost Increase</t>
  </si>
  <si>
    <t>S0</t>
  </si>
  <si>
    <t>Baseline</t>
  </si>
  <si>
    <t>No disruption</t>
  </si>
  <si>
    <t>S1</t>
  </si>
  <si>
    <t>Port Congestion</t>
  </si>
  <si>
    <t>Required scenario: US-E and UK sea LT +15 days, container cost +20%</t>
  </si>
  <si>
    <t>Priority Order ID</t>
  </si>
  <si>
    <t>Priority Qty</t>
  </si>
  <si>
    <t>Priority Level</t>
  </si>
  <si>
    <t>Disruption Simulation — selected loads only</t>
  </si>
  <si>
    <t>Base LT</t>
  </si>
  <si>
    <t>Base ETA</t>
  </si>
  <si>
    <t>LT Increase</t>
  </si>
  <si>
    <t>New LT</t>
  </si>
  <si>
    <t>New ETA</t>
  </si>
  <si>
    <t>Peak Start</t>
  </si>
  <si>
    <t>Peak End</t>
  </si>
  <si>
    <t>Buffer to Peak Start</t>
  </si>
  <si>
    <t>Delay Days</t>
  </si>
  <si>
    <t>Status</t>
  </si>
  <si>
    <t>Recommended Action</t>
  </si>
  <si>
    <t>Assumption ID</t>
  </si>
  <si>
    <t>Assumption</t>
  </si>
  <si>
    <t>Value</t>
  </si>
  <si>
    <t>Unit</t>
  </si>
  <si>
    <t>A01</t>
  </si>
  <si>
    <t>Air freight rate</t>
  </si>
  <si>
    <t>USD/kg</t>
  </si>
  <si>
    <t>Given by case.</t>
  </si>
  <si>
    <t>A02</t>
  </si>
  <si>
    <t>Product A weight</t>
  </si>
  <si>
    <t>kg/unit</t>
  </si>
  <si>
    <t>A03</t>
  </si>
  <si>
    <t>Active scenario container cost increase</t>
  </si>
  <si>
    <t>%</t>
  </si>
  <si>
    <t>Linked to active scenario.</t>
  </si>
  <si>
    <t>A04</t>
  </si>
  <si>
    <t>Urgent air share for split option</t>
  </si>
  <si>
    <t>% of priority qty</t>
  </si>
  <si>
    <t>Assumption for split shipment.</t>
  </si>
  <si>
    <t>A05</t>
  </si>
  <si>
    <t>Sea share for split option</t>
  </si>
  <si>
    <t>Remaining volume stays on sea freight.</t>
  </si>
  <si>
    <t>A06</t>
  </si>
  <si>
    <t>DC safety buffer threshold</t>
  </si>
  <si>
    <t>weeks</t>
  </si>
  <si>
    <t>Flag RED if coverage below 1 week.</t>
  </si>
  <si>
    <t>A07</t>
  </si>
  <si>
    <t>Distributor SLA threshold</t>
  </si>
  <si>
    <t>Flag RED if rolling 4W SLA below 95%.</t>
  </si>
  <si>
    <t>A08</t>
  </si>
  <si>
    <t>Target customer service level</t>
  </si>
  <si>
    <t>MK target fulfillment level.</t>
  </si>
  <si>
    <t>A09</t>
  </si>
  <si>
    <t>US 40ft FCL rate</t>
  </si>
  <si>
    <t>USD/container</t>
  </si>
  <si>
    <t>From SOTA / Round 2.1 logistics table.</t>
  </si>
  <si>
    <t>A10</t>
  </si>
  <si>
    <t>UK 40ft FCL rate</t>
  </si>
  <si>
    <t>A11</t>
  </si>
  <si>
    <t>AU LCL rate</t>
  </si>
  <si>
    <t>USD/CBM</t>
  </si>
  <si>
    <t>Storage Capacity CBM</t>
  </si>
  <si>
    <t>Handling Rate USD/CBM</t>
  </si>
  <si>
    <t>Planned Inbound Units</t>
  </si>
  <si>
    <t>Planned Inbound CBM</t>
  </si>
  <si>
    <t>Avg Weekly Demand Units</t>
  </si>
  <si>
    <t>Projected Inventory Units</t>
  </si>
  <si>
    <t>Inventory Coverage Weeks</t>
  </si>
  <si>
    <t>Alert Note</t>
  </si>
  <si>
    <t>Selected Distributor</t>
  </si>
  <si>
    <t>Backup Distributor</t>
  </si>
  <si>
    <t>Capacity CBM</t>
  </si>
  <si>
    <t>Capacity Gap CBM</t>
  </si>
  <si>
    <t>Channel / Strategic Fit</t>
  </si>
  <si>
    <t>Week 1 SLA</t>
  </si>
  <si>
    <t>Week 2 SLA</t>
  </si>
  <si>
    <t>Week 3 SLA</t>
  </si>
  <si>
    <t>Week 4 SLA</t>
  </si>
  <si>
    <t>Rolling 4W SLA</t>
  </si>
  <si>
    <t>SLA Status</t>
  </si>
  <si>
    <t>Contingency Action</t>
  </si>
  <si>
    <t>PlayGiant USA</t>
  </si>
  <si>
    <t>KidWorld Distrib.</t>
  </si>
  <si>
    <t>E-commerce strong; fits US online-first behavior</t>
  </si>
  <si>
    <t>Activate KidWorld backup if rolling SLA &lt;95%</t>
  </si>
  <si>
    <t>BrightToy UK</t>
  </si>
  <si>
    <t>JoyZone UK</t>
  </si>
  <si>
    <t>98.2% fulfillment; premium retail and ESG fit</t>
  </si>
  <si>
    <t>Use JoyZone only as limited backup due to slower processing</t>
  </si>
  <si>
    <t>DownUnder Toys</t>
  </si>
  <si>
    <t>Emergency 3PL / temporary DTC</t>
  </si>
  <si>
    <t>Only national distributor; capacity sufficient</t>
  </si>
  <si>
    <t>No direct distributor backup; use emergency 3PL support</t>
  </si>
  <si>
    <t>Rule ID</t>
  </si>
  <si>
    <t>Risk Type</t>
  </si>
  <si>
    <t>IF Condition</t>
  </si>
  <si>
    <t>THEN Action</t>
  </si>
  <si>
    <t>Severity</t>
  </si>
  <si>
    <t>Dashboard KPI</t>
  </si>
  <si>
    <t>R1</t>
  </si>
  <si>
    <t>Shipment delay</t>
  </si>
  <si>
    <t>New ETA &gt; assigned peak window end</t>
  </si>
  <si>
    <t>Flag shipment RED</t>
  </si>
  <si>
    <t>R2</t>
  </si>
  <si>
    <t>Priority shipment</t>
  </si>
  <si>
    <t>Delay Days &gt; 0 AND Priority = High</t>
  </si>
  <si>
    <t>Evaluate airfreight or split shipment</t>
  </si>
  <si>
    <t>At-risk Priority Orders</t>
  </si>
  <si>
    <t>R3</t>
  </si>
  <si>
    <t>DC inventory</t>
  </si>
  <si>
    <t>Inventory Coverage &lt; 1 week</t>
  </si>
  <si>
    <t>Trigger DC stockout alert</t>
  </si>
  <si>
    <t>Inventory Coverage</t>
  </si>
  <si>
    <t>R4</t>
  </si>
  <si>
    <t>Distributor SLA</t>
  </si>
  <si>
    <t>Rolling 4W SLA &lt; 95%</t>
  </si>
  <si>
    <t>Activate backup distributor plan</t>
  </si>
  <si>
    <t>R5</t>
  </si>
  <si>
    <t>Normal shipment</t>
  </si>
  <si>
    <t>New ETA within assigned peak window or buffer &gt;= 15 days</t>
  </si>
  <si>
    <t>Keep sea freight as planned</t>
  </si>
  <si>
    <t>Low</t>
  </si>
  <si>
    <t>Buffer Category</t>
  </si>
  <si>
    <t>R6</t>
  </si>
  <si>
    <t>Cost control</t>
  </si>
  <si>
    <t>Full air cost materially exceeds split option</t>
  </si>
  <si>
    <t>Recommend split instead of full air</t>
  </si>
  <si>
    <t>Medium</t>
  </si>
  <si>
    <t>Cost Comparison</t>
  </si>
  <si>
    <t>Action ID</t>
  </si>
  <si>
    <t>Trigger</t>
  </si>
  <si>
    <t>Manager Approval Required</t>
  </si>
  <si>
    <t>A1</t>
  </si>
  <si>
    <t>Shipment RED + High Priority</t>
  </si>
  <si>
    <t>Split shipment: air urgent quantity, keep remaining by sea</t>
  </si>
  <si>
    <t>YES</t>
  </si>
  <si>
    <t>A2</t>
  </si>
  <si>
    <t>Inventory RED</t>
  </si>
  <si>
    <t>Prioritize inbound allocation to affected DC</t>
  </si>
  <si>
    <t>A3</t>
  </si>
  <si>
    <t>SLA RED</t>
  </si>
  <si>
    <t>Activate backup distributor or temporary channel support</t>
  </si>
  <si>
    <t>A4</t>
  </si>
  <si>
    <t>Cost spike only</t>
  </si>
  <si>
    <t>Keep sea freight and monitor landed-cost impact</t>
  </si>
  <si>
    <t>A5</t>
  </si>
  <si>
    <t>No risk</t>
  </si>
  <si>
    <t>Continue planned shipment</t>
  </si>
  <si>
    <t>NO</t>
  </si>
  <si>
    <t>Base Sea Cost USD</t>
  </si>
  <si>
    <t>Sea Cost After Disruption</t>
  </si>
  <si>
    <t>Full Air Cost</t>
  </si>
  <si>
    <t>Urgent Air Share</t>
  </si>
  <si>
    <t>Split Air Cost</t>
  </si>
  <si>
    <t>Remaining Sea Cost</t>
  </si>
  <si>
    <t>Split Total Cost</t>
  </si>
  <si>
    <t>Simulation Status</t>
  </si>
  <si>
    <t>Recommendation</t>
  </si>
  <si>
    <t>Distributor</t>
  </si>
  <si>
    <t>Selected</t>
  </si>
  <si>
    <t>Annual Revenue USD M</t>
  </si>
  <si>
    <t>Baseline Fulfillment Rate</t>
  </si>
  <si>
    <t>Risk Note</t>
  </si>
  <si>
    <t>E-commerce strong; fits US online-first behavior.</t>
  </si>
  <si>
    <t>Limited traditional retail reach in Midwest.</t>
  </si>
  <si>
    <t>Q4 peak execution and shelf-display relationships.</t>
  </si>
  <si>
    <t>Lower fulfillment rate than PlayGiant.</t>
  </si>
  <si>
    <t>Premium retail partner; strong fulfillment and ESG fit.</t>
  </si>
  <si>
    <t>High ESG requirement from supplier.</t>
  </si>
  <si>
    <t>Lower-cost option with developing DTC capability.</t>
  </si>
  <si>
    <t>Slow processing and weak SLA.</t>
  </si>
  <si>
    <t>Only viable national AU option; strong NSW/VIC coverage.</t>
  </si>
  <si>
    <t>Limited backup options if service fails.</t>
  </si>
  <si>
    <t>Primary Distributor</t>
  </si>
  <si>
    <t>Switching Cost Type</t>
  </si>
  <si>
    <t>Operational Impact</t>
  </si>
  <si>
    <t>Rolling 4W SLA &lt;95% or e-commerce backlog</t>
  </si>
  <si>
    <t>Contract, onboarding, order reallocation</t>
  </si>
  <si>
    <t>Better Q4 retail coverage, but weaker e-commerce fit than PlayGiant.</t>
  </si>
  <si>
    <t>Rolling 4W SLA &lt;95% or ESG non-compliance</t>
  </si>
  <si>
    <t>Lower partner cost but slower processing</t>
  </si>
  <si>
    <t>Service degradation risk; use only as temporary fallback.</t>
  </si>
  <si>
    <t>Emergency 3PL / temporary DTC support</t>
  </si>
  <si>
    <t>Rolling 4W SLA &lt;95% or national capacity failure</t>
  </si>
  <si>
    <t>Emergency warehousing and last-mile handling</t>
  </si>
  <si>
    <t>Higher handling cost; no direct distributor alternative in case list.</t>
  </si>
  <si>
    <t>Check Item</t>
  </si>
  <si>
    <t>Interpretation</t>
  </si>
  <si>
    <t>Active scenario count</t>
  </si>
  <si>
    <t>OK</t>
  </si>
  <si>
    <t>Exactly one scenario should be active.</t>
  </si>
  <si>
    <t>Blank tracked Batch/Load IDs</t>
  </si>
  <si>
    <t>Blank tracked IDs will prevent load tracking.</t>
  </si>
  <si>
    <t>Invalid tracked Batch/Load IDs</t>
  </si>
  <si>
    <t>Tracked IDs must exist in Pipeline_Source[Batch / Load].</t>
  </si>
  <si>
    <t>Order-load mismatch count</t>
  </si>
  <si>
    <t>CHECK</t>
  </si>
  <si>
    <t>Current tracked loads do not match Priority_Orders SKU/Market/DC. Replace Batch / Load keep track before Power BI refresh.</t>
  </si>
  <si>
    <t>Inventory RED count</t>
  </si>
  <si>
    <t>WATCH</t>
  </si>
  <si>
    <t>RED inventory indicates below 1-week safety buffer.</t>
  </si>
  <si>
    <t>Distributor SLA RED count</t>
  </si>
  <si>
    <t>RED SLA activates backup distributor logic.</t>
  </si>
  <si>
    <t>Duplicate sheet clean-up</t>
  </si>
  <si>
    <t>Done</t>
  </si>
  <si>
    <t>Distributor_Master, Distributor_SLA_Input, and Backup_Distributor_Plan were consolidated into Distributor_Input.</t>
  </si>
  <si>
    <t>Planned CBM from pipeline</t>
  </si>
  <si>
    <t>SS1 Start</t>
  </si>
  <si>
    <t>SS1 End</t>
  </si>
  <si>
    <t>SS2 Start</t>
  </si>
  <si>
    <t>SS2 End</t>
  </si>
  <si>
    <t>Air Cost per kg</t>
  </si>
  <si>
    <t>Product Weight kg</t>
  </si>
  <si>
    <t>Base Sea Rate</t>
  </si>
  <si>
    <t>Planned CBM</t>
  </si>
  <si>
    <t>Channel Fit</t>
  </si>
  <si>
    <t>Highlight Group</t>
  </si>
  <si>
    <t>Priority Order</t>
  </si>
  <si>
    <t xml:space="preserve"> Case priority load</t>
  </si>
  <si>
    <t>Highlight Note</t>
  </si>
  <si>
    <t>Container ID</t>
  </si>
  <si>
    <t>US-20260511-40_1</t>
  </si>
  <si>
    <t>UK-20260511-LCL</t>
  </si>
  <si>
    <t>US-20260518-20_1</t>
  </si>
  <si>
    <t>US-20260518-LCL</t>
  </si>
  <si>
    <t>UK-20260518-LCL</t>
  </si>
  <si>
    <t>US-20260525-20_1</t>
  </si>
  <si>
    <t>US-20260525-LCL</t>
  </si>
  <si>
    <t>UK-20260525-LCL</t>
  </si>
  <si>
    <t>US-20260601-20_1</t>
  </si>
  <si>
    <t>US-20260601-LCL</t>
  </si>
  <si>
    <t>UK-20260601-LCL</t>
  </si>
  <si>
    <t>AU-20260601-LCL</t>
  </si>
  <si>
    <t>UK-20260608-40_1</t>
  </si>
  <si>
    <t>US-20260608-LCL</t>
  </si>
  <si>
    <t>UK-20260608-LCL</t>
  </si>
  <si>
    <t>US-20260615-20_1</t>
  </si>
  <si>
    <t>US-20260615-LCL</t>
  </si>
  <si>
    <t>UK-20260615-LCL</t>
  </si>
  <si>
    <t>US-20260622-20_1</t>
  </si>
  <si>
    <t>UK-20260622-LCL</t>
  </si>
  <si>
    <t>AU-20260622-LCL</t>
  </si>
  <si>
    <t>US-20260629-20_1</t>
  </si>
  <si>
    <t>UK-20260629-LCL</t>
  </si>
  <si>
    <t>US-20260706-20_1</t>
  </si>
  <si>
    <t>US-20260706-LCL</t>
  </si>
  <si>
    <t>UK-20260706-LCL</t>
  </si>
  <si>
    <t>AU-20260706-LCL</t>
  </si>
  <si>
    <t>US-20260713-20_1</t>
  </si>
  <si>
    <t>US-20260713-LCL</t>
  </si>
  <si>
    <t>UK-20260713-LCL</t>
  </si>
  <si>
    <t>AU-20260713-LCL</t>
  </si>
  <si>
    <t>US-20260720-20_1</t>
  </si>
  <si>
    <t>US-20260720-LCL</t>
  </si>
  <si>
    <t>UK-20260720-LCL</t>
  </si>
  <si>
    <t>AU-20260720-LCL</t>
  </si>
  <si>
    <t>US-20260727-20_1</t>
  </si>
  <si>
    <t>UK-20260727-LCL</t>
  </si>
  <si>
    <t>AU-20260727-LCL</t>
  </si>
  <si>
    <t>Gap start 1</t>
  </si>
  <si>
    <t>Gap end 1</t>
  </si>
  <si>
    <t>Gap start 2</t>
  </si>
  <si>
    <t>Gap end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</si>
</sst>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0.0"/>
    <numFmt numFmtId="166" formatCode="0.000"/>
  </numFmts>
  <fonts count="30">
    <font>
      <sz val="11"/>
      <name val="Carlito"/>
    </font>
    <font>
      <b/>
      <sz val="10"/>
      <color rgb="FF2563EB"/>
      <name val="Aptos"/>
      <family val="2"/>
    </font>
    <font>
      <sz val="10"/>
      <name val="Aptos"/>
      <family val="2"/>
    </font>
    <font>
      <b/>
      <sz val="10"/>
      <color rgb="FF111827"/>
      <name val="Aptos"/>
      <family val="2"/>
    </font>
    <font>
      <b/>
      <sz val="10"/>
      <name val="Aptos"/>
      <family val="2"/>
    </font>
    <font>
      <b/>
      <sz val="10"/>
      <color rgb="FF1F2937"/>
      <name val="Carlito"/>
    </font>
    <font>
      <sz val="10"/>
      <name val="Carlito"/>
    </font>
    <font>
      <b/>
      <sz val="10"/>
      <color rgb="FF0F172A"/>
      <name val="Aptos"/>
      <family val="2"/>
    </font>
    <font>
      <sz val="10"/>
      <color rgb="FF0F172A"/>
      <name val="Aptos"/>
      <family val="2"/>
    </font>
    <font>
      <b/>
      <sz val="11"/>
      <color rgb="FF0F172A"/>
      <name val="Carlito"/>
    </font>
    <font>
      <sz val="10"/>
      <color rgb="FF0F172A"/>
      <name val="Carlito"/>
    </font>
    <font>
      <b/>
      <sz val="14"/>
      <color rgb="FF1D4ED8"/>
      <name val="Aptos"/>
      <family val="2"/>
    </font>
    <font>
      <b/>
      <sz val="10"/>
      <color rgb="FF0F172A"/>
      <name val="Carlito"/>
    </font>
    <font>
      <b/>
      <sz val="10"/>
      <color theme="0"/>
      <name val="Aptos"/>
      <family val="2"/>
    </font>
    <font>
      <b/>
      <sz val="10"/>
      <color rgb="FF1F2937"/>
      <name val="Calibri"/>
      <family val="2"/>
    </font>
    <font>
      <sz val="10"/>
      <name val="Calibri"/>
      <family val="2"/>
    </font>
    <font>
      <b/>
      <sz val="11"/>
      <color theme="1"/>
      <name val="Times New Roman"/>
      <family val="1"/>
    </font>
    <font>
      <sz val="10"/>
      <color rgb="FF0F172A"/>
      <name val="Times New Roman"/>
      <family val="1"/>
    </font>
    <font>
      <b/>
      <sz val="11"/>
      <color rgb="FF0F172A"/>
      <name val="Times New Roman"/>
      <family val="1"/>
    </font>
    <font>
      <sz val="11"/>
      <name val="Times New Roman"/>
      <family val="1"/>
    </font>
    <font>
      <sz val="11"/>
      <color theme="1"/>
      <name val="Aptos Narrow"/>
      <family val="2"/>
    </font>
    <font>
      <b/>
      <sz val="10"/>
      <color rgb="FF7F1D1D"/>
      <name val="Times New Roman"/>
      <family val="1"/>
    </font>
    <font>
      <b/>
      <sz val="10"/>
      <color rgb="FF1F2937"/>
      <name val="Times New Roman"/>
      <family val="1"/>
    </font>
    <font>
      <sz val="10"/>
      <color rgb="FF111827"/>
      <name val="Times New Roman"/>
      <family val="1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name val="Carlito"/>
    </font>
    <font>
      <b/>
      <sz val="10"/>
      <color rgb="FF111827"/>
      <name val="Times New Roman"/>
      <family val="1"/>
    </font>
    <font>
      <b/>
      <sz val="1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E8F1FF"/>
      </patternFill>
    </fill>
    <fill>
      <patternFill patternType="solid">
        <fgColor rgb="FFEAF2FF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DECC8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E2E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ADCF8"/>
      </patternFill>
    </fill>
    <fill>
      <patternFill patternType="solid">
        <f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0" fillId="0" borderId="0"/>
  </cellStyleXfs>
  <cellXfs count="110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5" fillId="3" borderId="0" xfId="0" applyFont="1" applyFill="1" applyAlignment="1">
      <alignment horizontal="center" wrapText="1"/>
    </xf>
    <xf numFmtId="0" fontId="6" fillId="0" borderId="0" xfId="0" applyFont="1"/>
    <xf numFmtId="164" fontId="6" fillId="0" borderId="0" xfId="0" applyNumberFormat="1" applyFont="1"/>
    <xf numFmtId="4" fontId="6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2" fontId="8" fillId="0" borderId="0" xfId="0" applyNumberFormat="1" applyFont="1" applyAlignment="1">
      <alignment vertical="center"/>
    </xf>
    <xf numFmtId="9" fontId="8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3" fontId="8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10" fontId="8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4" fontId="10" fillId="0" borderId="0" xfId="0" applyNumberFormat="1" applyFont="1" applyAlignment="1">
      <alignment vertical="center"/>
    </xf>
    <xf numFmtId="0" fontId="12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5" fillId="0" borderId="6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9" xfId="0" applyFont="1" applyBorder="1" applyAlignment="1">
      <alignment vertical="center"/>
    </xf>
    <xf numFmtId="0" fontId="16" fillId="6" borderId="0" xfId="0" applyFont="1" applyFill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19" fillId="0" borderId="0" xfId="0" applyFont="1"/>
    <xf numFmtId="0" fontId="17" fillId="0" borderId="0" xfId="0" applyFont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7" borderId="0" xfId="0" applyFont="1" applyFill="1" applyAlignment="1">
      <alignment horizontal="center" vertical="center" wrapText="1"/>
    </xf>
    <xf numFmtId="0" fontId="23" fillId="12" borderId="10" xfId="1" applyFont="1" applyFill="1" applyBorder="1" applyAlignment="1">
      <alignment vertical="center"/>
    </xf>
    <xf numFmtId="3" fontId="23" fillId="12" borderId="10" xfId="1" applyNumberFormat="1" applyFont="1" applyFill="1" applyBorder="1" applyAlignment="1">
      <alignment vertical="center"/>
    </xf>
    <xf numFmtId="14" fontId="23" fillId="12" borderId="10" xfId="1" applyNumberFormat="1" applyFont="1" applyFill="1" applyBorder="1" applyAlignment="1">
      <alignment vertical="center"/>
    </xf>
    <xf numFmtId="1" fontId="23" fillId="12" borderId="10" xfId="1" applyNumberFormat="1" applyFont="1" applyFill="1" applyBorder="1" applyAlignment="1">
      <alignment horizontal="center" vertical="center"/>
    </xf>
    <xf numFmtId="14" fontId="24" fillId="9" borderId="10" xfId="1" applyNumberFormat="1" applyFont="1" applyFill="1" applyBorder="1" applyAlignment="1">
      <alignment vertical="center"/>
    </xf>
    <xf numFmtId="1" fontId="25" fillId="10" borderId="10" xfId="1" applyNumberFormat="1" applyFont="1" applyFill="1" applyBorder="1" applyAlignment="1">
      <alignment vertical="center"/>
    </xf>
    <xf numFmtId="0" fontId="25" fillId="11" borderId="10" xfId="1" applyFont="1" applyFill="1" applyBorder="1" applyAlignment="1">
      <alignment vertical="center"/>
    </xf>
    <xf numFmtId="0" fontId="25" fillId="11" borderId="10" xfId="1" applyFont="1" applyFill="1" applyBorder="1" applyAlignment="1">
      <alignment vertical="center" wrapText="1"/>
    </xf>
    <xf numFmtId="166" fontId="23" fillId="12" borderId="10" xfId="1" applyNumberFormat="1" applyFont="1" applyFill="1" applyBorder="1" applyAlignment="1">
      <alignment vertical="center"/>
    </xf>
    <xf numFmtId="0" fontId="23" fillId="13" borderId="10" xfId="1" applyFont="1" applyFill="1" applyBorder="1" applyAlignment="1">
      <alignment vertical="center"/>
    </xf>
    <xf numFmtId="3" fontId="23" fillId="13" borderId="10" xfId="1" applyNumberFormat="1" applyFont="1" applyFill="1" applyBorder="1" applyAlignment="1">
      <alignment vertical="center"/>
    </xf>
    <xf numFmtId="14" fontId="23" fillId="13" borderId="10" xfId="1" applyNumberFormat="1" applyFont="1" applyFill="1" applyBorder="1" applyAlignment="1">
      <alignment vertical="center"/>
    </xf>
    <xf numFmtId="1" fontId="23" fillId="13" borderId="10" xfId="1" applyNumberFormat="1" applyFont="1" applyFill="1" applyBorder="1" applyAlignment="1">
      <alignment horizontal="center" vertical="center"/>
    </xf>
    <xf numFmtId="14" fontId="24" fillId="13" borderId="10" xfId="1" applyNumberFormat="1" applyFont="1" applyFill="1" applyBorder="1" applyAlignment="1">
      <alignment vertical="center"/>
    </xf>
    <xf numFmtId="1" fontId="25" fillId="13" borderId="10" xfId="1" applyNumberFormat="1" applyFont="1" applyFill="1" applyBorder="1" applyAlignment="1">
      <alignment vertical="center"/>
    </xf>
    <xf numFmtId="0" fontId="25" fillId="13" borderId="10" xfId="1" applyFont="1" applyFill="1" applyBorder="1" applyAlignment="1">
      <alignment vertical="center"/>
    </xf>
    <xf numFmtId="0" fontId="25" fillId="13" borderId="10" xfId="1" applyFont="1" applyFill="1" applyBorder="1" applyAlignment="1">
      <alignment vertical="center" wrapText="1"/>
    </xf>
    <xf numFmtId="166" fontId="23" fillId="13" borderId="10" xfId="1" applyNumberFormat="1" applyFont="1" applyFill="1" applyBorder="1" applyAlignment="1">
      <alignment vertical="center"/>
    </xf>
    <xf numFmtId="0" fontId="0" fillId="13" borderId="0" xfId="0" applyFill="1"/>
    <xf numFmtId="0" fontId="23" fillId="13" borderId="11" xfId="1" applyFont="1" applyFill="1" applyBorder="1" applyAlignment="1">
      <alignment vertical="center"/>
    </xf>
    <xf numFmtId="0" fontId="23" fillId="12" borderId="11" xfId="1" applyFont="1" applyFill="1" applyBorder="1" applyAlignment="1">
      <alignment vertical="center"/>
    </xf>
    <xf numFmtId="166" fontId="23" fillId="13" borderId="12" xfId="1" applyNumberFormat="1" applyFont="1" applyFill="1" applyBorder="1" applyAlignment="1">
      <alignment vertical="center"/>
    </xf>
    <xf numFmtId="166" fontId="23" fillId="12" borderId="12" xfId="1" applyNumberFormat="1" applyFont="1" applyFill="1" applyBorder="1" applyAlignment="1">
      <alignment vertical="center"/>
    </xf>
    <xf numFmtId="0" fontId="21" fillId="8" borderId="13" xfId="1" applyFont="1" applyFill="1" applyBorder="1" applyAlignment="1">
      <alignment horizontal="center" vertical="center" wrapText="1"/>
    </xf>
    <xf numFmtId="0" fontId="21" fillId="8" borderId="14" xfId="1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/>
    </xf>
    <xf numFmtId="0" fontId="22" fillId="10" borderId="14" xfId="0" applyFont="1" applyFill="1" applyBorder="1" applyAlignment="1">
      <alignment horizontal="center" vertical="center"/>
    </xf>
    <xf numFmtId="0" fontId="22" fillId="11" borderId="14" xfId="0" applyFont="1" applyFill="1" applyBorder="1" applyAlignment="1">
      <alignment horizontal="center" vertical="center"/>
    </xf>
    <xf numFmtId="0" fontId="21" fillId="8" borderId="15" xfId="1" applyFont="1" applyFill="1" applyBorder="1" applyAlignment="1">
      <alignment horizontal="center" vertical="center" wrapText="1"/>
    </xf>
    <xf numFmtId="0" fontId="23" fillId="12" borderId="16" xfId="1" applyFont="1" applyFill="1" applyBorder="1" applyAlignment="1">
      <alignment vertical="center"/>
    </xf>
    <xf numFmtId="0" fontId="23" fillId="12" borderId="17" xfId="1" applyFont="1" applyFill="1" applyBorder="1" applyAlignment="1">
      <alignment vertical="center"/>
    </xf>
    <xf numFmtId="3" fontId="23" fillId="12" borderId="17" xfId="1" applyNumberFormat="1" applyFont="1" applyFill="1" applyBorder="1" applyAlignment="1">
      <alignment vertical="center"/>
    </xf>
    <xf numFmtId="14" fontId="23" fillId="12" borderId="17" xfId="1" applyNumberFormat="1" applyFont="1" applyFill="1" applyBorder="1" applyAlignment="1">
      <alignment vertical="center"/>
    </xf>
    <xf numFmtId="1" fontId="23" fillId="12" borderId="17" xfId="1" applyNumberFormat="1" applyFont="1" applyFill="1" applyBorder="1" applyAlignment="1">
      <alignment horizontal="center" vertical="center"/>
    </xf>
    <xf numFmtId="14" fontId="24" fillId="9" borderId="17" xfId="1" applyNumberFormat="1" applyFont="1" applyFill="1" applyBorder="1" applyAlignment="1">
      <alignment vertical="center"/>
    </xf>
    <xf numFmtId="1" fontId="25" fillId="10" borderId="17" xfId="1" applyNumberFormat="1" applyFont="1" applyFill="1" applyBorder="1" applyAlignment="1">
      <alignment vertical="center"/>
    </xf>
    <xf numFmtId="0" fontId="25" fillId="11" borderId="17" xfId="1" applyFont="1" applyFill="1" applyBorder="1" applyAlignment="1">
      <alignment vertical="center"/>
    </xf>
    <xf numFmtId="0" fontId="25" fillId="11" borderId="17" xfId="1" applyFont="1" applyFill="1" applyBorder="1" applyAlignment="1">
      <alignment vertical="center" wrapText="1"/>
    </xf>
    <xf numFmtId="166" fontId="23" fillId="12" borderId="17" xfId="1" applyNumberFormat="1" applyFont="1" applyFill="1" applyBorder="1" applyAlignment="1">
      <alignment vertical="center"/>
    </xf>
    <xf numFmtId="166" fontId="23" fillId="12" borderId="18" xfId="1" applyNumberFormat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27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7" fillId="0" borderId="0" xfId="0" applyFont="1" applyAlignment="1">
      <alignment horizontal="right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right" vertical="center" wrapText="1"/>
    </xf>
    <xf numFmtId="0" fontId="19" fillId="6" borderId="0" xfId="0" applyFont="1" applyFill="1"/>
    <xf numFmtId="0" fontId="26" fillId="6" borderId="0" xfId="0" applyFont="1" applyFill="1" applyAlignment="1">
      <alignment vertical="center"/>
    </xf>
    <xf numFmtId="0" fontId="28" fillId="14" borderId="0" xfId="0" applyFont="1" applyFill="1" applyAlignment="1">
      <alignment horizontal="center" vertical="center" wrapText="1"/>
    </xf>
    <xf numFmtId="0" fontId="29" fillId="14" borderId="0" xfId="0" applyFont="1" applyFill="1" applyAlignment="1">
      <alignment vertical="center"/>
    </xf>
    <xf numFmtId="0" fontId="2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vertical="center" wrapText="1"/>
    </xf>
    <xf numFmtId="0" fontId="23" fillId="15" borderId="11" xfId="1" applyFont="1" applyFill="1" applyBorder="1" applyAlignment="1">
      <alignment vertical="center"/>
    </xf>
    <xf numFmtId="0" fontId="23" fillId="15" borderId="10" xfId="1" applyFont="1" applyFill="1" applyBorder="1" applyAlignment="1">
      <alignment vertical="center"/>
    </xf>
    <xf numFmtId="3" fontId="23" fillId="15" borderId="10" xfId="1" applyNumberFormat="1" applyFont="1" applyFill="1" applyBorder="1" applyAlignment="1">
      <alignment vertical="center"/>
    </xf>
    <xf numFmtId="14" fontId="23" fillId="15" borderId="10" xfId="1" applyNumberFormat="1" applyFont="1" applyFill="1" applyBorder="1" applyAlignment="1">
      <alignment vertical="center"/>
    </xf>
    <xf numFmtId="1" fontId="23" fillId="15" borderId="10" xfId="1" applyNumberFormat="1" applyFont="1" applyFill="1" applyBorder="1" applyAlignment="1">
      <alignment horizontal="center" vertical="center"/>
    </xf>
    <xf numFmtId="14" fontId="24" fillId="15" borderId="10" xfId="1" applyNumberFormat="1" applyFont="1" applyFill="1" applyBorder="1" applyAlignment="1">
      <alignment vertical="center"/>
    </xf>
    <xf numFmtId="1" fontId="25" fillId="15" borderId="10" xfId="1" applyNumberFormat="1" applyFont="1" applyFill="1" applyBorder="1" applyAlignment="1">
      <alignment vertical="center"/>
    </xf>
    <xf numFmtId="0" fontId="25" fillId="15" borderId="10" xfId="1" applyFont="1" applyFill="1" applyBorder="1" applyAlignment="1">
      <alignment vertical="center"/>
    </xf>
    <xf numFmtId="0" fontId="25" fillId="15" borderId="10" xfId="1" applyFont="1" applyFill="1" applyBorder="1" applyAlignment="1">
      <alignment vertical="center" wrapText="1"/>
    </xf>
    <xf numFmtId="166" fontId="23" fillId="15" borderId="10" xfId="1" applyNumberFormat="1" applyFont="1" applyFill="1" applyBorder="1" applyAlignment="1">
      <alignment vertical="center"/>
    </xf>
    <xf numFmtId="166" fontId="23" fillId="15" borderId="12" xfId="1" applyNumberFormat="1" applyFont="1" applyFill="1" applyBorder="1" applyAlignment="1">
      <alignment vertical="center"/>
    </xf>
  </cellXfs>
  <cellStyles count="2">
    <cellStyle name="Normal" xfId="0" builtinId="0"/>
    <cellStyle name="Normal 3" xfId="1" xr:uid="{98E685A9-234B-42AF-AD33-1271D5128E7C}"/>
  </cellStyles>
  <dxfs count="62">
    <dxf>
      <font>
        <strike val="0"/>
        <outline val="0"/>
        <shadow val="0"/>
        <u val="none"/>
        <vertAlign val="baseline"/>
        <sz val="10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F172A"/>
        <name val="Carlito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72A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pto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166" formatCode="0.0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166" formatCode="0.0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166" formatCode="0.00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EADC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indexed="64"/>
          <bgColor rgb="FFEADCF8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" formatCode="0"/>
      <fill>
        <patternFill patternType="solid">
          <fgColor indexed="64"/>
          <bgColor rgb="FFE2F0D9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9" formatCode="m/d/yyyy"/>
      <fill>
        <patternFill patternType="solid">
          <fgColor indexed="64"/>
          <bgColor rgb="FFFFF2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827"/>
        <name val="Times New Roman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7F1D1D"/>
        <name val="Times New Roman"/>
        <family val="1"/>
        <scheme val="none"/>
      </font>
      <fill>
        <patternFill patternType="solid">
          <fgColor indexed="64"/>
          <bgColor rgb="FFFDE2E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ipelineSource" displayName="tblPipelineSource" ref="A1:V65" headerRowDxfId="61" headerRowBorderDxfId="60" tableBorderDxfId="59" headerRowCellStyle="Normal 3">
  <tableColumns count="22">
    <tableColumn id="1" xr3:uid="{00000000-0010-0000-0000-000001000000}" name="Container ID" dataDxfId="58" dataCellStyle="Normal 3"/>
    <tableColumn id="2" xr3:uid="{00000000-0010-0000-0000-000002000000}" name="SKU" dataDxfId="57" dataCellStyle="Normal 3"/>
    <tableColumn id="3" xr3:uid="{00000000-0010-0000-0000-000003000000}" name="Qty" dataDxfId="56" dataCellStyle="Normal 3"/>
    <tableColumn id="4" xr3:uid="{00000000-0010-0000-0000-000004000000}" name="Market" dataDxfId="55" dataCellStyle="Normal 3"/>
    <tableColumn id="5" xr3:uid="{00000000-0010-0000-0000-000005000000}" name="DC" dataDxfId="54" dataCellStyle="Normal 3"/>
    <tableColumn id="6" xr3:uid="{00000000-0010-0000-0000-000006000000}" name="Departure Date" dataDxfId="53" dataCellStyle="Normal 3"/>
    <tableColumn id="7" xr3:uid="{00000000-0010-0000-0000-000007000000}" name="Base LT" dataDxfId="52" dataCellStyle="Normal 3"/>
    <tableColumn id="8" xr3:uid="{00000000-0010-0000-0000-000008000000}" name="Base ETA" dataDxfId="51" dataCellStyle="Normal 3"/>
    <tableColumn id="9" xr3:uid="{00000000-0010-0000-0000-000009000000}" name="SS1 Start" dataDxfId="50" dataCellStyle="Normal 3"/>
    <tableColumn id="10" xr3:uid="{00000000-0010-0000-0000-00000A000000}" name="SS1 End" dataDxfId="49" dataCellStyle="Normal 3"/>
    <tableColumn id="11" xr3:uid="{00000000-0010-0000-0000-00000B000000}" name="SS2 Start" dataDxfId="48" dataCellStyle="Normal 3"/>
    <tableColumn id="12" xr3:uid="{00000000-0010-0000-0000-00000C000000}" name="SS2 End" dataDxfId="47" dataCellStyle="Normal 3"/>
    <tableColumn id="13" xr3:uid="{00000000-0010-0000-0000-00000D000000}" name="Gap start 1" dataDxfId="46" dataCellStyle="Normal 3"/>
    <tableColumn id="14" xr3:uid="{00000000-0010-0000-0000-00000E000000}" name="Gap end 1" dataDxfId="45" dataCellStyle="Normal 3"/>
    <tableColumn id="15" xr3:uid="{00000000-0010-0000-0000-00000F000000}" name="Gap start 2" dataDxfId="44" dataCellStyle="Normal 3"/>
    <tableColumn id="16" xr3:uid="{00000000-0010-0000-0000-000010000000}" name="Gap end 2" dataDxfId="43" dataCellStyle="Normal 3"/>
    <tableColumn id="17" xr3:uid="{00000000-0010-0000-0000-000011000000}" name="Seasonal Status" dataDxfId="42" dataCellStyle="Normal 3"/>
    <tableColumn id="18" xr3:uid="{00000000-0010-0000-0000-000012000000}" name="Proposed Action" dataDxfId="41" dataCellStyle="Normal 3"/>
    <tableColumn id="19" xr3:uid="{00000000-0010-0000-0000-000013000000}" name="Load Type" dataDxfId="40" dataCellStyle="Normal 3"/>
    <tableColumn id="20" xr3:uid="{00000000-0010-0000-0000-000014000000}" name="Product CBM" dataDxfId="39" dataCellStyle="Normal 3"/>
    <tableColumn id="21" xr3:uid="{00000000-0010-0000-0000-000015000000}" name="Load Used CBM" dataDxfId="38" dataCellStyle="Normal 3"/>
    <tableColumn id="22" xr3:uid="{00000000-0010-0000-0000-000016000000}" name="Load Slack CBM" dataDxfId="37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iorityOrders" displayName="tblPriorityOrders" ref="A1:G3">
  <tableColumns count="7">
    <tableColumn id="1" xr3:uid="{00000000-0010-0000-0100-000001000000}" name="Order ID"/>
    <tableColumn id="2" xr3:uid="{00000000-0010-0000-0100-000002000000}" name="Container ID" dataDxfId="36"/>
    <tableColumn id="4" xr3:uid="{00000000-0010-0000-0100-000004000000}" name="SKU"/>
    <tableColumn id="5" xr3:uid="{00000000-0010-0000-0100-000005000000}" name="Qty"/>
    <tableColumn id="6" xr3:uid="{00000000-0010-0000-0100-000006000000}" name="Market"/>
    <tableColumn id="7" xr3:uid="{00000000-0010-0000-0100-000007000000}" name="DC"/>
    <tableColumn id="8" xr3:uid="{00000000-0010-0000-0100-000008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cenarioConfig" displayName="tblScenarioConfig" ref="A1:I3">
  <tableColumns count="9">
    <tableColumn id="1" xr3:uid="{00000000-0010-0000-0200-000001000000}" name="Scenario ID"/>
    <tableColumn id="2" xr3:uid="{00000000-0010-0000-0200-000002000000}" name="Scenario Name"/>
    <tableColumn id="3" xr3:uid="{00000000-0010-0000-0200-000003000000}" name="Active"/>
    <tableColumn id="4" xr3:uid="{00000000-0010-0000-0200-000004000000}" name="US-E LT Increase"/>
    <tableColumn id="5" xr3:uid="{00000000-0010-0000-0200-000005000000}" name="UK LT Increase"/>
    <tableColumn id="6" xr3:uid="{00000000-0010-0000-0200-000006000000}" name="Container Cost Increase"/>
    <tableColumn id="7" xr3:uid="{00000000-0010-0000-0200-000007000000}" name="Air Cost per kg"/>
    <tableColumn id="8" xr3:uid="{00000000-0010-0000-0200-000008000000}" name="Product Weight kg"/>
    <tableColumn id="9" xr3:uid="{00000000-0010-0000-0200-000009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blDisruptionSimulation" displayName="tblDisruptionSimulation" ref="A3:T5" headerRowDxfId="35">
  <tableColumns count="20">
    <tableColumn id="1" xr3:uid="{00000000-0010-0000-0300-000001000000}" name="Order ID"/>
    <tableColumn id="2" xr3:uid="{00000000-0010-0000-0300-000002000000}" name="Batch / Load keep track"/>
    <tableColumn id="4" xr3:uid="{00000000-0010-0000-0300-000004000000}" name="SKU"/>
    <tableColumn id="5" xr3:uid="{00000000-0010-0000-0300-000005000000}" name="Qty"/>
    <tableColumn id="6" xr3:uid="{00000000-0010-0000-0300-000006000000}" name="Market"/>
    <tableColumn id="7" xr3:uid="{00000000-0010-0000-0300-000007000000}" name="DC"/>
    <tableColumn id="8" xr3:uid="{00000000-0010-0000-0300-000008000000}" name="Priority"/>
    <tableColumn id="9" xr3:uid="{00000000-0010-0000-0300-000009000000}" name="Departure Date"/>
    <tableColumn id="10" xr3:uid="{00000000-0010-0000-0300-00000A000000}" name="Base LT"/>
    <tableColumn id="11" xr3:uid="{00000000-0010-0000-0300-00000B000000}" name="Base ETA"/>
    <tableColumn id="12" xr3:uid="{00000000-0010-0000-0300-00000C000000}" name="LT Increase"/>
    <tableColumn id="13" xr3:uid="{00000000-0010-0000-0300-00000D000000}" name="New LT"/>
    <tableColumn id="14" xr3:uid="{00000000-0010-0000-0300-00000E000000}" name="New ETA"/>
    <tableColumn id="15" xr3:uid="{00000000-0010-0000-0300-00000F000000}" name="Peak Start"/>
    <tableColumn id="16" xr3:uid="{00000000-0010-0000-0300-000010000000}" name="Peak End"/>
    <tableColumn id="17" xr3:uid="{00000000-0010-0000-0300-000011000000}" name="Buffer to Peak Start"/>
    <tableColumn id="18" xr3:uid="{00000000-0010-0000-0300-000012000000}" name="Delay Days"/>
    <tableColumn id="19" xr3:uid="{00000000-0010-0000-0300-000013000000}" name="Status"/>
    <tableColumn id="20" xr3:uid="{00000000-0010-0000-0300-000014000000}" name="Container Cost Increase"/>
    <tableColumn id="21" xr3:uid="{00000000-0010-0000-0300-000015000000}" name="Recommended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A24454-CF33-4EBD-B4AF-8BAD9E7D787F}" name="Cost_Comparison" displayName="Cost_Comparison" ref="A1:L3" totalsRowShown="0" headerRowDxfId="34" dataDxfId="33">
  <autoFilter ref="A1:L3" xr:uid="{FBA24454-CF33-4EBD-B4AF-8BAD9E7D787F}"/>
  <tableColumns count="12">
    <tableColumn id="1" xr3:uid="{A070FC1A-9763-4DB8-AE8E-00A102939396}" name="Order ID" dataDxfId="32">
      <calculatedColumnFormula>Priority_Orders!A2</calculatedColumnFormula>
    </tableColumn>
    <tableColumn id="2" xr3:uid="{ACCDB34D-7E8B-4F7C-B49B-626C93F8F90E}" name="Qty" dataDxfId="31">
      <calculatedColumnFormula>Priority_Orders!D2</calculatedColumnFormula>
    </tableColumn>
    <tableColumn id="3" xr3:uid="{62093694-7CDC-4C09-9CA4-B76B6AC9BF96}" name="DC" dataDxfId="30">
      <calculatedColumnFormula>Priority_Orders!F2</calculatedColumnFormula>
    </tableColumn>
    <tableColumn id="4" xr3:uid="{C6AF418C-1010-4887-97FF-E5BA03128C9E}" name="Base Sea Cost USD" dataDxfId="29">
      <calculatedColumnFormula>_xlfn.SINGLE(IF(Priority_Orders!E2="US",_xlfn.XLOOKUP("US 40ft FCL rate",Cost_Assumptions!$B$2:$B$12,Cost_Assumptions!$C$2:$C$12),IF(Priority_Orders!E2="UK",_xlfn.XLOOKUP("UK 40ft FCL rate",Cost_Assumptions!$B$2:$B$12,Cost_Assumptions!$C$2:$C$12),0)))</calculatedColumnFormula>
    </tableColumn>
    <tableColumn id="5" xr3:uid="{D856DD43-A6F0-4488-97E4-751E10F3D7D6}" name="Sea Cost After Disruption" dataDxfId="28">
      <calculatedColumnFormula>D2*(1+_xlfn.SINGLE(_xlfn.XLOOKUP(TRUE,Scenario_Config!$C$2:$C$3,Scenario_Config!$F$2:$F$3,0)))</calculatedColumnFormula>
    </tableColumn>
    <tableColumn id="6" xr3:uid="{80CC3453-436A-436D-A09F-B190600A201F}" name="Full Air Cost" dataDxfId="27">
      <calculatedColumnFormula>B2*_xlfn.SINGLE(_xlfn.XLOOKUP("Product A weight",Cost_Assumptions!$B$2:$B$12,Cost_Assumptions!$C$2:$C$12))*_xlfn.SINGLE(_xlfn.XLOOKUP("Air freight rate",Cost_Assumptions!$B$2:$B$12,Cost_Assumptions!$C$2:$C$12))</calculatedColumnFormula>
    </tableColumn>
    <tableColumn id="7" xr3:uid="{FF0001A0-119F-4AE1-978D-6600874757AF}" name="Urgent Air Share" dataDxfId="26">
      <calculatedColumnFormula>_xlfn.SINGLE(_xlfn.XLOOKUP("Urgent air share for split option",Cost_Assumptions!$B$2:$B$12,Cost_Assumptions!$C$2:$C$12))</calculatedColumnFormula>
    </tableColumn>
    <tableColumn id="8" xr3:uid="{EF4372A8-2AAA-438A-A1A5-40167191EA69}" name="Split Air Cost" dataDxfId="25">
      <calculatedColumnFormula>B2*G2*_xlfn.SINGLE(_xlfn.XLOOKUP("Product A weight",Cost_Assumptions!$B$2:$B$12,Cost_Assumptions!$C$2:$C$12))*_xlfn.SINGLE(_xlfn.XLOOKUP("Air freight rate",Cost_Assumptions!$B$2:$B$12,Cost_Assumptions!$C$2:$C$12))</calculatedColumnFormula>
    </tableColumn>
    <tableColumn id="9" xr3:uid="{037D7874-2A17-407E-8D75-9C3049863A83}" name="Remaining Sea Cost" dataDxfId="24">
      <calculatedColumnFormula>E2*(1-G2)</calculatedColumnFormula>
    </tableColumn>
    <tableColumn id="10" xr3:uid="{DF3AF8D8-5D38-4A6C-A3BD-9D646A4D0D93}" name="Split Total Cost" dataDxfId="23">
      <calculatedColumnFormula>H2+I2</calculatedColumnFormula>
    </tableColumn>
    <tableColumn id="11" xr3:uid="{59EA0B55-BFF5-4759-B187-5D4D2ABD63B4}" name="Simulation Status" dataDxfId="22">
      <calculatedColumnFormula>_xlfn.SINGLE(_xlfn.XLOOKUP(A2,Disruption_Simulation!$A$4:$A$12,Disruption_Simulation!$R$4:$R$12,"Not simulated"))</calculatedColumnFormula>
    </tableColumn>
    <tableColumn id="12" xr3:uid="{963FE4A0-DF36-4672-BA58-92A3DA90E951}" name="Recommendation" dataDxfId="21">
      <calculatedColumnFormula>IF(K2="NO TRACKED LOAD","Assign Batch / Load ID first",IF(ISNUMBER(SEARCH("MISSED",K2)),"Split shipment",IF(ISNUMBER(SEARCH("TIGHT",K2)),"Prepare split / monitor daily","Keep sea freight")))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CostAssumptions" displayName="tblCostAssumptions" ref="A1:E12">
  <tableColumns count="5">
    <tableColumn id="1" xr3:uid="{00000000-0010-0000-0400-000001000000}" name="Assumption ID"/>
    <tableColumn id="2" xr3:uid="{00000000-0010-0000-0400-000002000000}" name="Assumption"/>
    <tableColumn id="3" xr3:uid="{00000000-0010-0000-0400-000003000000}" name="Value"/>
    <tableColumn id="4" xr3:uid="{00000000-0010-0000-0400-000004000000}" name="Unit"/>
    <tableColumn id="5" xr3:uid="{A8255F57-66BA-4C6E-A760-5A7037BA19D6}" name="Notes" dataDxfId="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5FC1758-9DBA-4C6E-B175-BBDCDE3E8063}" name="Freight_Rate_Master" displayName="Freight_Rate_Master" ref="A1:C10" totalsRowShown="0">
  <autoFilter ref="A1:C10" xr:uid="{85FC1758-9DBA-4C6E-B175-BBDCDE3E8063}"/>
  <tableColumns count="3">
    <tableColumn id="1" xr3:uid="{86A771D1-D3FE-43EF-8BB7-DD4191F58F7F}" name="Market" dataDxfId="19"/>
    <tableColumn id="2" xr3:uid="{5B2FA249-FFC5-4951-B072-817696EB674B}" name="Load Type" dataDxfId="18"/>
    <tableColumn id="3" xr3:uid="{C8C342AC-8259-46E4-88B3-74C061C88673}" name="Base Sea Rate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CBD5F03-19E6-49BF-80B6-AD3836ECB17C}" name="Lane_LeadTime_Master" displayName="Lane_LeadTime_Master" ref="A1:D13" totalsRowShown="0" dataDxfId="16">
  <autoFilter ref="A1:D13" xr:uid="{9CBD5F03-19E6-49BF-80B6-AD3836ECB17C}"/>
  <tableColumns count="4">
    <tableColumn id="1" xr3:uid="{B55C2D77-A347-4BAC-8E05-166A9280255C}" name="Market" dataDxfId="15"/>
    <tableColumn id="2" xr3:uid="{AD7DF86E-5277-4DAC-9088-83BE17D6E93D}" name="DC" dataDxfId="14"/>
    <tableColumn id="3" xr3:uid="{D244D9FD-4F3C-40D8-8D8B-3CE70470F0D7}" name="Load Type" dataDxfId="13"/>
    <tableColumn id="4" xr3:uid="{357C86E3-CF04-499F-A50C-4A1F46A5F097}" name="Base LT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7395ED6-3C3D-44DB-B43A-F53EE0E2204F}" name="Peak_Window_Master" displayName="Peak_Window_Master" ref="A1:E4" totalsRowShown="0" headerRowDxfId="11" dataDxfId="10">
  <autoFilter ref="A1:E4" xr:uid="{C7395ED6-3C3D-44DB-B43A-F53EE0E2204F}"/>
  <tableColumns count="5">
    <tableColumn id="1" xr3:uid="{E43CEFDB-8E5D-4842-B3F4-16F5FCA06BB5}" name="Market" dataDxfId="9"/>
    <tableColumn id="2" xr3:uid="{20E6228A-1CE4-4714-9B6D-A818A4AD5D92}" name="SS1 Start" dataDxfId="8"/>
    <tableColumn id="3" xr3:uid="{46FF686F-9824-4C31-85B4-B2EDE04AD0C1}" name="SS1 End" dataDxfId="7"/>
    <tableColumn id="4" xr3:uid="{D75435D4-B781-4948-8F7E-BFC142C873F6}" name="SS2 Start" dataDxfId="6"/>
    <tableColumn id="5" xr3:uid="{79DDD15D-354B-4DF0-9F39-3DD2FC32F0D7}" name="SS2 End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DCInventory" displayName="tblDCInventory" ref="A1:K5" headerRowDxfId="4">
  <tableColumns count="11">
    <tableColumn id="1" xr3:uid="{00000000-0010-0000-0500-000001000000}" name="DC"/>
    <tableColumn id="2" xr3:uid="{00000000-0010-0000-0500-000002000000}" name="Market"/>
    <tableColumn id="3" xr3:uid="{00000000-0010-0000-0500-000003000000}" name="Storage Capacity CBM"/>
    <tableColumn id="4" xr3:uid="{00000000-0010-0000-0500-000004000000}" name="Handling Rate USD/CBM"/>
    <tableColumn id="5" xr3:uid="{00000000-0010-0000-0500-000005000000}" name="Planned Inbound Units">
      <calculatedColumnFormula>SUMIFS(Pipeline_Source!$C:$C,Pipeline_Source!$E:$E,$A2)</calculatedColumnFormula>
    </tableColumn>
    <tableColumn id="6" xr3:uid="{00000000-0010-0000-0500-000006000000}" name="Planned Inbound CBM">
      <calculatedColumnFormula>SUMIFS(Pipeline_Source!$T:$T,Pipeline_Source!$E:$E,$A2)</calculatedColumnFormula>
    </tableColumn>
    <tableColumn id="7" xr3:uid="{00000000-0010-0000-0500-000007000000}" name="Avg Weekly Demand Units">
      <calculatedColumnFormula>tblDCInventory[[#This Row],[Planned Inbound Units]]/12</calculatedColumnFormula>
    </tableColumn>
    <tableColumn id="8" xr3:uid="{00000000-0010-0000-0500-000008000000}" name="Projected Inventory Units"/>
    <tableColumn id="9" xr3:uid="{00000000-0010-0000-0500-000009000000}" name="Inventory Coverage Weeks"/>
    <tableColumn id="10" xr3:uid="{7FB6DC44-3398-49DB-8C90-063943D80179}" name="Status" dataDxfId="3">
      <calculatedColumnFormula>IF(I2&lt;1,"RED","GREEN")</calculatedColumnFormula>
    </tableColumn>
    <tableColumn id="11" xr3:uid="{5E5911B7-7804-4B65-B336-C7FF394AB6B0}" name="Alert Note" dataDxfId="2">
      <calculatedColumnFormula>IF(J2="RED","Below 1-week safety buffer","Normal")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DistributorInput" displayName="tblDistributorInput" ref="A1:N4">
  <tableColumns count="14">
    <tableColumn id="1" xr3:uid="{00000000-0010-0000-0600-000001000000}" name="Market"/>
    <tableColumn id="2" xr3:uid="{00000000-0010-0000-0600-000002000000}" name="Selected Distributor"/>
    <tableColumn id="3" xr3:uid="{00000000-0010-0000-0600-000003000000}" name="Backup Distributor"/>
    <tableColumn id="4" xr3:uid="{00000000-0010-0000-0600-000004000000}" name="Capacity CBM"/>
    <tableColumn id="5" xr3:uid="{00000000-0010-0000-0600-000005000000}" name="Planned CBM"/>
    <tableColumn id="6" xr3:uid="{00000000-0010-0000-0600-000006000000}" name="Capacity Gap CBM"/>
    <tableColumn id="7" xr3:uid="{00000000-0010-0000-0600-000007000000}" name="Channel Fit"/>
    <tableColumn id="8" xr3:uid="{00000000-0010-0000-0600-000008000000}" name="Week 1 SLA"/>
    <tableColumn id="9" xr3:uid="{00000000-0010-0000-0600-000009000000}" name="Week 2 SLA"/>
    <tableColumn id="10" xr3:uid="{00000000-0010-0000-0600-00000A000000}" name="Week 3 SLA"/>
    <tableColumn id="11" xr3:uid="{00000000-0010-0000-0600-00000B000000}" name="Week 4 SLA"/>
    <tableColumn id="12" xr3:uid="{00000000-0010-0000-0600-00000C000000}" name="Rolling 4W SLA"/>
    <tableColumn id="13" xr3:uid="{00000000-0010-0000-0600-00000D000000}" name="SLA Status"/>
    <tableColumn id="14" xr3:uid="{00000000-0010-0000-0600-00000E000000}" name="Contingency Ac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DecisionRules" displayName="tblDecisionRules" ref="A1:F7" headerRowDxfId="1">
  <tableColumns count="6">
    <tableColumn id="1" xr3:uid="{00000000-0010-0000-0700-000001000000}" name="Rule ID"/>
    <tableColumn id="2" xr3:uid="{00000000-0010-0000-0700-000002000000}" name="Risk Type"/>
    <tableColumn id="3" xr3:uid="{00000000-0010-0000-0700-000003000000}" name="IF Condition"/>
    <tableColumn id="4" xr3:uid="{00000000-0010-0000-0700-000004000000}" name="THEN Action"/>
    <tableColumn id="5" xr3:uid="{00000000-0010-0000-0700-000005000000}" name="Severity"/>
    <tableColumn id="6" xr3:uid="{00000000-0010-0000-0700-000006000000}" name="Dashboard KPI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tblActionCatalog" displayName="tblActionCatalog" ref="A1:D6" headerRowDxfId="0">
  <tableColumns count="4">
    <tableColumn id="1" xr3:uid="{00000000-0010-0000-0800-000001000000}" name="Action ID"/>
    <tableColumn id="2" xr3:uid="{00000000-0010-0000-0800-000002000000}" name="Trigger"/>
    <tableColumn id="3" xr3:uid="{00000000-0010-0000-0800-000003000000}" name="Recommended Action"/>
    <tableColumn id="4" xr3:uid="{00000000-0010-0000-0800-000004000000}" name="Manager Approval 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"/>
  <sheetViews>
    <sheetView tabSelected="1" workbookViewId="0"/>
  </sheetViews>
  <sheetFormatPr defaultRowHeight="13.8"/>
  <cols>
    <col min="1" max="1" width="19.09765625" customWidth="1"/>
    <col min="2" max="2" width="134.59765625" customWidth="1"/>
  </cols>
  <sheetData>
    <row r="1" spans="1:33" ht="12" customHeight="1">
      <c r="A1" s="2" t="s">
        <v>0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" customHeight="1">
      <c r="A3" s="1" t="s">
        <v>1</v>
      </c>
      <c r="B3" s="10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2" customHeight="1">
      <c r="A4" s="1" t="s">
        <v>3</v>
      </c>
      <c r="B4" s="10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" t="s">
        <v>5</v>
      </c>
      <c r="B5" s="10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" customHeight="1">
      <c r="A6" s="1" t="s">
        <v>7</v>
      </c>
      <c r="B6" s="10" t="s">
        <v>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" customHeight="1">
      <c r="A7" s="1" t="s">
        <v>9</v>
      </c>
      <c r="B7" s="10" t="s">
        <v>10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" customHeight="1">
      <c r="A8" s="1" t="s">
        <v>11</v>
      </c>
      <c r="B8" s="10" t="s">
        <v>12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" customHeight="1">
      <c r="A9" s="1" t="s">
        <v>13</v>
      </c>
      <c r="B9" s="10" t="s">
        <v>14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" customHeight="1">
      <c r="A10" s="1" t="s">
        <v>15</v>
      </c>
      <c r="B10" s="10" t="s">
        <v>16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" customHeight="1">
      <c r="A11" s="1" t="s">
        <v>17</v>
      </c>
      <c r="B11" s="10" t="s">
        <v>18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" customHeight="1">
      <c r="A12" s="1" t="s">
        <v>19</v>
      </c>
      <c r="B12" s="10" t="s">
        <v>20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" customHeight="1">
      <c r="A13" s="3" t="s">
        <v>21</v>
      </c>
      <c r="B13" s="3" t="s">
        <v>22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" customHeight="1">
      <c r="A14" s="3" t="s">
        <v>23</v>
      </c>
      <c r="B14" s="3" t="s">
        <v>24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" customHeight="1">
      <c r="A15" s="3" t="s">
        <v>25</v>
      </c>
      <c r="B15" s="3" t="s">
        <v>26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" customHeight="1">
      <c r="A16" s="3" t="s">
        <v>27</v>
      </c>
      <c r="B16" s="3" t="s">
        <v>28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8"/>
  <sheetViews>
    <sheetView zoomScale="83" zoomScaleNormal="55" workbookViewId="0">
      <selection activeCell="H2" sqref="H2"/>
    </sheetView>
  </sheetViews>
  <sheetFormatPr defaultRowHeight="13.8"/>
  <cols>
    <col min="1" max="1" width="26" customWidth="1"/>
    <col min="2" max="2" width="8" customWidth="1"/>
    <col min="3" max="3" width="12" customWidth="1"/>
    <col min="4" max="4" width="10" customWidth="1"/>
    <col min="5" max="5" width="16" customWidth="1"/>
    <col min="6" max="6" width="14" customWidth="1"/>
    <col min="7" max="8" width="16" customWidth="1"/>
    <col min="9" max="16" width="14" customWidth="1"/>
    <col min="17" max="17" width="20" customWidth="1"/>
    <col min="18" max="18" width="42" customWidth="1"/>
    <col min="19" max="20" width="12" customWidth="1"/>
    <col min="21" max="22" width="14" customWidth="1"/>
    <col min="23" max="23" width="7.3984375" customWidth="1"/>
  </cols>
  <sheetData>
    <row r="1" spans="1:22" ht="19.2" customHeight="1">
      <c r="A1" s="69" t="s">
        <v>308</v>
      </c>
      <c r="B1" s="70" t="s">
        <v>29</v>
      </c>
      <c r="C1" s="70" t="s">
        <v>30</v>
      </c>
      <c r="D1" s="70" t="s">
        <v>31</v>
      </c>
      <c r="E1" s="70" t="s">
        <v>62</v>
      </c>
      <c r="F1" s="70" t="s">
        <v>33</v>
      </c>
      <c r="G1" s="70" t="s">
        <v>97</v>
      </c>
      <c r="H1" s="70" t="s">
        <v>98</v>
      </c>
      <c r="I1" s="71" t="s">
        <v>295</v>
      </c>
      <c r="J1" s="71" t="s">
        <v>296</v>
      </c>
      <c r="K1" s="71" t="s">
        <v>297</v>
      </c>
      <c r="L1" s="71" t="s">
        <v>298</v>
      </c>
      <c r="M1" s="72" t="s">
        <v>347</v>
      </c>
      <c r="N1" s="72" t="s">
        <v>348</v>
      </c>
      <c r="O1" s="72" t="s">
        <v>349</v>
      </c>
      <c r="P1" s="72" t="s">
        <v>350</v>
      </c>
      <c r="Q1" s="73" t="s">
        <v>34</v>
      </c>
      <c r="R1" s="73" t="s">
        <v>35</v>
      </c>
      <c r="S1" s="70" t="s">
        <v>36</v>
      </c>
      <c r="T1" s="70" t="s">
        <v>37</v>
      </c>
      <c r="U1" s="70" t="s">
        <v>38</v>
      </c>
      <c r="V1" s="74" t="s">
        <v>39</v>
      </c>
    </row>
    <row r="2" spans="1:22" s="64" customFormat="1">
      <c r="A2" s="99" t="s">
        <v>309</v>
      </c>
      <c r="B2" s="100" t="s">
        <v>41</v>
      </c>
      <c r="C2" s="101">
        <v>15000</v>
      </c>
      <c r="D2" s="100" t="s">
        <v>42</v>
      </c>
      <c r="E2" s="100" t="s">
        <v>47</v>
      </c>
      <c r="F2" s="102">
        <v>46153</v>
      </c>
      <c r="G2" s="103">
        <v>50</v>
      </c>
      <c r="H2" s="102">
        <v>46203</v>
      </c>
      <c r="I2" s="104">
        <v>46235</v>
      </c>
      <c r="J2" s="104">
        <v>46265</v>
      </c>
      <c r="K2" s="104">
        <v>46296</v>
      </c>
      <c r="L2" s="104">
        <v>46387</v>
      </c>
      <c r="M2" s="105">
        <v>32</v>
      </c>
      <c r="N2" s="105">
        <v>62</v>
      </c>
      <c r="O2" s="105">
        <v>93</v>
      </c>
      <c r="P2" s="105">
        <v>184</v>
      </c>
      <c r="Q2" s="106" t="s">
        <v>44</v>
      </c>
      <c r="R2" s="107" t="s">
        <v>48</v>
      </c>
      <c r="S2" s="100" t="s">
        <v>60</v>
      </c>
      <c r="T2" s="108">
        <v>37.5</v>
      </c>
      <c r="U2" s="108">
        <v>40.429687999999999</v>
      </c>
      <c r="V2" s="109">
        <v>24.570312000000001</v>
      </c>
    </row>
    <row r="3" spans="1:22">
      <c r="A3" s="65" t="s">
        <v>309</v>
      </c>
      <c r="B3" s="55" t="s">
        <v>55</v>
      </c>
      <c r="C3" s="56">
        <v>3000</v>
      </c>
      <c r="D3" s="55" t="s">
        <v>42</v>
      </c>
      <c r="E3" s="55" t="s">
        <v>47</v>
      </c>
      <c r="F3" s="57">
        <v>46153</v>
      </c>
      <c r="G3" s="58">
        <v>50</v>
      </c>
      <c r="H3" s="57">
        <v>46203</v>
      </c>
      <c r="I3" s="59">
        <v>46235</v>
      </c>
      <c r="J3" s="59">
        <v>46265</v>
      </c>
      <c r="K3" s="59">
        <v>46296</v>
      </c>
      <c r="L3" s="59">
        <v>46387</v>
      </c>
      <c r="M3" s="60">
        <v>32</v>
      </c>
      <c r="N3" s="60">
        <v>62</v>
      </c>
      <c r="O3" s="60">
        <v>93</v>
      </c>
      <c r="P3" s="60">
        <v>184</v>
      </c>
      <c r="Q3" s="61" t="s">
        <v>44</v>
      </c>
      <c r="R3" s="62" t="s">
        <v>48</v>
      </c>
      <c r="S3" s="55" t="s">
        <v>60</v>
      </c>
      <c r="T3" s="63">
        <v>2.9296880000000001</v>
      </c>
      <c r="U3" s="63">
        <v>40.429687999999999</v>
      </c>
      <c r="V3" s="67">
        <v>24.570312000000001</v>
      </c>
    </row>
    <row r="4" spans="1:22">
      <c r="A4" s="66" t="s">
        <v>310</v>
      </c>
      <c r="B4" s="46" t="s">
        <v>50</v>
      </c>
      <c r="C4" s="47">
        <v>4998</v>
      </c>
      <c r="D4" s="46" t="s">
        <v>51</v>
      </c>
      <c r="E4" s="46" t="s">
        <v>52</v>
      </c>
      <c r="F4" s="48">
        <v>46153</v>
      </c>
      <c r="G4" s="49">
        <v>45</v>
      </c>
      <c r="H4" s="48">
        <v>46198</v>
      </c>
      <c r="I4" s="50">
        <v>46082</v>
      </c>
      <c r="J4" s="50">
        <v>46142</v>
      </c>
      <c r="K4" s="50">
        <v>46327</v>
      </c>
      <c r="L4" s="50">
        <v>46387</v>
      </c>
      <c r="M4" s="51">
        <v>-116</v>
      </c>
      <c r="N4" s="51">
        <v>-56</v>
      </c>
      <c r="O4" s="51">
        <v>129</v>
      </c>
      <c r="P4" s="51">
        <v>189</v>
      </c>
      <c r="Q4" s="52" t="s">
        <v>53</v>
      </c>
      <c r="R4" s="53" t="s">
        <v>54</v>
      </c>
      <c r="S4" s="46" t="s">
        <v>49</v>
      </c>
      <c r="T4" s="54">
        <v>24.99</v>
      </c>
      <c r="U4" s="54">
        <v>24.99</v>
      </c>
      <c r="V4" s="68">
        <v>0</v>
      </c>
    </row>
    <row r="5" spans="1:22">
      <c r="A5" s="66" t="s">
        <v>311</v>
      </c>
      <c r="B5" s="46" t="s">
        <v>41</v>
      </c>
      <c r="C5" s="47">
        <v>11200</v>
      </c>
      <c r="D5" s="46" t="s">
        <v>42</v>
      </c>
      <c r="E5" s="46" t="s">
        <v>43</v>
      </c>
      <c r="F5" s="48">
        <v>46160</v>
      </c>
      <c r="G5" s="49">
        <v>50</v>
      </c>
      <c r="H5" s="48">
        <v>46210</v>
      </c>
      <c r="I5" s="50">
        <v>46235</v>
      </c>
      <c r="J5" s="50">
        <v>46265</v>
      </c>
      <c r="K5" s="50">
        <v>46296</v>
      </c>
      <c r="L5" s="50">
        <v>46387</v>
      </c>
      <c r="M5" s="51">
        <v>25</v>
      </c>
      <c r="N5" s="51">
        <v>55</v>
      </c>
      <c r="O5" s="51">
        <v>86</v>
      </c>
      <c r="P5" s="51">
        <v>177</v>
      </c>
      <c r="Q5" s="52" t="s">
        <v>44</v>
      </c>
      <c r="R5" s="53" t="s">
        <v>45</v>
      </c>
      <c r="S5" s="46" t="s">
        <v>46</v>
      </c>
      <c r="T5" s="54">
        <v>28</v>
      </c>
      <c r="U5" s="54">
        <v>28</v>
      </c>
      <c r="V5" s="68">
        <v>0</v>
      </c>
    </row>
    <row r="6" spans="1:22">
      <c r="A6" s="66" t="s">
        <v>312</v>
      </c>
      <c r="B6" s="46" t="s">
        <v>41</v>
      </c>
      <c r="C6" s="47">
        <v>1300</v>
      </c>
      <c r="D6" s="46" t="s">
        <v>42</v>
      </c>
      <c r="E6" s="46" t="s">
        <v>43</v>
      </c>
      <c r="F6" s="48">
        <v>46160</v>
      </c>
      <c r="G6" s="49">
        <v>55</v>
      </c>
      <c r="H6" s="48">
        <v>46215</v>
      </c>
      <c r="I6" s="50">
        <v>46235</v>
      </c>
      <c r="J6" s="50">
        <v>46265</v>
      </c>
      <c r="K6" s="50">
        <v>46296</v>
      </c>
      <c r="L6" s="50">
        <v>46387</v>
      </c>
      <c r="M6" s="51">
        <v>20</v>
      </c>
      <c r="N6" s="51">
        <v>50</v>
      </c>
      <c r="O6" s="51">
        <v>81</v>
      </c>
      <c r="P6" s="51">
        <v>172</v>
      </c>
      <c r="Q6" s="52" t="s">
        <v>44</v>
      </c>
      <c r="R6" s="53" t="s">
        <v>45</v>
      </c>
      <c r="S6" s="46" t="s">
        <v>49</v>
      </c>
      <c r="T6" s="54">
        <v>3.25</v>
      </c>
      <c r="U6" s="54">
        <v>5.6953120000000004</v>
      </c>
      <c r="V6" s="68">
        <v>0</v>
      </c>
    </row>
    <row r="7" spans="1:22">
      <c r="A7" s="66" t="s">
        <v>312</v>
      </c>
      <c r="B7" s="46" t="s">
        <v>55</v>
      </c>
      <c r="C7" s="47">
        <v>2504</v>
      </c>
      <c r="D7" s="46" t="s">
        <v>42</v>
      </c>
      <c r="E7" s="46" t="s">
        <v>43</v>
      </c>
      <c r="F7" s="48">
        <v>46160</v>
      </c>
      <c r="G7" s="49">
        <v>55</v>
      </c>
      <c r="H7" s="48">
        <v>46215</v>
      </c>
      <c r="I7" s="50">
        <v>46235</v>
      </c>
      <c r="J7" s="50">
        <v>46265</v>
      </c>
      <c r="K7" s="50">
        <v>46296</v>
      </c>
      <c r="L7" s="50">
        <v>46387</v>
      </c>
      <c r="M7" s="51">
        <v>20</v>
      </c>
      <c r="N7" s="51">
        <v>50</v>
      </c>
      <c r="O7" s="51">
        <v>81</v>
      </c>
      <c r="P7" s="51">
        <v>172</v>
      </c>
      <c r="Q7" s="52" t="s">
        <v>44</v>
      </c>
      <c r="R7" s="53" t="s">
        <v>45</v>
      </c>
      <c r="S7" s="46" t="s">
        <v>49</v>
      </c>
      <c r="T7" s="54">
        <v>2.4453119999999999</v>
      </c>
      <c r="U7" s="54">
        <v>5.6953120000000004</v>
      </c>
      <c r="V7" s="68">
        <v>0</v>
      </c>
    </row>
    <row r="8" spans="1:22">
      <c r="A8" s="66" t="s">
        <v>313</v>
      </c>
      <c r="B8" s="46" t="s">
        <v>50</v>
      </c>
      <c r="C8" s="47">
        <v>4166</v>
      </c>
      <c r="D8" s="46" t="s">
        <v>51</v>
      </c>
      <c r="E8" s="46" t="s">
        <v>52</v>
      </c>
      <c r="F8" s="48">
        <v>46160</v>
      </c>
      <c r="G8" s="49">
        <v>45</v>
      </c>
      <c r="H8" s="48">
        <v>46205</v>
      </c>
      <c r="I8" s="50">
        <v>46082</v>
      </c>
      <c r="J8" s="50">
        <v>46142</v>
      </c>
      <c r="K8" s="50">
        <v>46327</v>
      </c>
      <c r="L8" s="50">
        <v>46387</v>
      </c>
      <c r="M8" s="51">
        <v>-123</v>
      </c>
      <c r="N8" s="51">
        <v>-63</v>
      </c>
      <c r="O8" s="51">
        <v>122</v>
      </c>
      <c r="P8" s="51">
        <v>182</v>
      </c>
      <c r="Q8" s="52" t="s">
        <v>53</v>
      </c>
      <c r="R8" s="53" t="s">
        <v>54</v>
      </c>
      <c r="S8" s="46" t="s">
        <v>49</v>
      </c>
      <c r="T8" s="54">
        <v>20.83</v>
      </c>
      <c r="U8" s="54">
        <v>20.83</v>
      </c>
      <c r="V8" s="68">
        <v>0</v>
      </c>
    </row>
    <row r="9" spans="1:22">
      <c r="A9" s="66" t="s">
        <v>314</v>
      </c>
      <c r="B9" s="46" t="s">
        <v>41</v>
      </c>
      <c r="C9" s="47">
        <v>7528</v>
      </c>
      <c r="D9" s="46" t="s">
        <v>42</v>
      </c>
      <c r="E9" s="46" t="s">
        <v>47</v>
      </c>
      <c r="F9" s="48">
        <v>46167</v>
      </c>
      <c r="G9" s="49">
        <v>50</v>
      </c>
      <c r="H9" s="48">
        <v>46217</v>
      </c>
      <c r="I9" s="50">
        <v>46235</v>
      </c>
      <c r="J9" s="50">
        <v>46265</v>
      </c>
      <c r="K9" s="50">
        <v>46296</v>
      </c>
      <c r="L9" s="50">
        <v>46387</v>
      </c>
      <c r="M9" s="51">
        <v>18</v>
      </c>
      <c r="N9" s="51">
        <v>48</v>
      </c>
      <c r="O9" s="51">
        <v>79</v>
      </c>
      <c r="P9" s="51">
        <v>170</v>
      </c>
      <c r="Q9" s="52" t="s">
        <v>44</v>
      </c>
      <c r="R9" s="53" t="s">
        <v>48</v>
      </c>
      <c r="S9" s="46" t="s">
        <v>46</v>
      </c>
      <c r="T9" s="54">
        <v>18.82</v>
      </c>
      <c r="U9" s="54">
        <v>27.999687999999999</v>
      </c>
      <c r="V9" s="68">
        <v>3.1199999999999999E-4</v>
      </c>
    </row>
    <row r="10" spans="1:22">
      <c r="A10" s="66" t="s">
        <v>314</v>
      </c>
      <c r="B10" s="46" t="s">
        <v>56</v>
      </c>
      <c r="C10" s="47">
        <v>4000</v>
      </c>
      <c r="D10" s="46" t="s">
        <v>42</v>
      </c>
      <c r="E10" s="46" t="s">
        <v>47</v>
      </c>
      <c r="F10" s="48">
        <v>46167</v>
      </c>
      <c r="G10" s="49">
        <v>50</v>
      </c>
      <c r="H10" s="48">
        <v>46217</v>
      </c>
      <c r="I10" s="50">
        <v>46235</v>
      </c>
      <c r="J10" s="50">
        <v>46265</v>
      </c>
      <c r="K10" s="50">
        <v>46296</v>
      </c>
      <c r="L10" s="50">
        <v>46387</v>
      </c>
      <c r="M10" s="51">
        <v>18</v>
      </c>
      <c r="N10" s="51">
        <v>48</v>
      </c>
      <c r="O10" s="51">
        <v>79</v>
      </c>
      <c r="P10" s="51">
        <v>170</v>
      </c>
      <c r="Q10" s="52" t="s">
        <v>44</v>
      </c>
      <c r="R10" s="53" t="s">
        <v>48</v>
      </c>
      <c r="S10" s="46" t="s">
        <v>46</v>
      </c>
      <c r="T10" s="54">
        <v>6.25</v>
      </c>
      <c r="U10" s="54">
        <v>27.999687999999999</v>
      </c>
      <c r="V10" s="68">
        <v>3.1199999999999999E-4</v>
      </c>
    </row>
    <row r="11" spans="1:22">
      <c r="A11" s="66" t="s">
        <v>314</v>
      </c>
      <c r="B11" s="46" t="s">
        <v>55</v>
      </c>
      <c r="C11" s="47">
        <v>3000</v>
      </c>
      <c r="D11" s="46" t="s">
        <v>42</v>
      </c>
      <c r="E11" s="46" t="s">
        <v>47</v>
      </c>
      <c r="F11" s="48">
        <v>46167</v>
      </c>
      <c r="G11" s="49">
        <v>50</v>
      </c>
      <c r="H11" s="48">
        <v>46217</v>
      </c>
      <c r="I11" s="50">
        <v>46235</v>
      </c>
      <c r="J11" s="50">
        <v>46265</v>
      </c>
      <c r="K11" s="50">
        <v>46296</v>
      </c>
      <c r="L11" s="50">
        <v>46387</v>
      </c>
      <c r="M11" s="51">
        <v>18</v>
      </c>
      <c r="N11" s="51">
        <v>48</v>
      </c>
      <c r="O11" s="51">
        <v>79</v>
      </c>
      <c r="P11" s="51">
        <v>170</v>
      </c>
      <c r="Q11" s="52" t="s">
        <v>44</v>
      </c>
      <c r="R11" s="53" t="s">
        <v>48</v>
      </c>
      <c r="S11" s="46" t="s">
        <v>46</v>
      </c>
      <c r="T11" s="54">
        <v>2.9296880000000001</v>
      </c>
      <c r="U11" s="54">
        <v>27.999687999999999</v>
      </c>
      <c r="V11" s="68">
        <v>3.1199999999999999E-4</v>
      </c>
    </row>
    <row r="12" spans="1:22">
      <c r="A12" s="66" t="s">
        <v>315</v>
      </c>
      <c r="B12" s="46" t="s">
        <v>41</v>
      </c>
      <c r="C12" s="47">
        <v>3472</v>
      </c>
      <c r="D12" s="46" t="s">
        <v>42</v>
      </c>
      <c r="E12" s="46" t="s">
        <v>43</v>
      </c>
      <c r="F12" s="48">
        <v>46167</v>
      </c>
      <c r="G12" s="49">
        <v>55</v>
      </c>
      <c r="H12" s="48">
        <v>46222</v>
      </c>
      <c r="I12" s="50">
        <v>46235</v>
      </c>
      <c r="J12" s="50">
        <v>46265</v>
      </c>
      <c r="K12" s="50">
        <v>46296</v>
      </c>
      <c r="L12" s="50">
        <v>46387</v>
      </c>
      <c r="M12" s="51">
        <v>13</v>
      </c>
      <c r="N12" s="51">
        <v>43</v>
      </c>
      <c r="O12" s="51">
        <v>74</v>
      </c>
      <c r="P12" s="51">
        <v>165</v>
      </c>
      <c r="Q12" s="52" t="s">
        <v>44</v>
      </c>
      <c r="R12" s="53" t="s">
        <v>45</v>
      </c>
      <c r="S12" s="46" t="s">
        <v>49</v>
      </c>
      <c r="T12" s="54">
        <v>8.68</v>
      </c>
      <c r="U12" s="54">
        <v>8.68</v>
      </c>
      <c r="V12" s="68">
        <v>0</v>
      </c>
    </row>
    <row r="13" spans="1:22">
      <c r="A13" s="66" t="s">
        <v>316</v>
      </c>
      <c r="B13" s="46" t="s">
        <v>50</v>
      </c>
      <c r="C13" s="47">
        <v>5000</v>
      </c>
      <c r="D13" s="46" t="s">
        <v>51</v>
      </c>
      <c r="E13" s="46" t="s">
        <v>52</v>
      </c>
      <c r="F13" s="48">
        <v>46167</v>
      </c>
      <c r="G13" s="49">
        <v>45</v>
      </c>
      <c r="H13" s="48">
        <v>46212</v>
      </c>
      <c r="I13" s="50">
        <v>46082</v>
      </c>
      <c r="J13" s="50">
        <v>46142</v>
      </c>
      <c r="K13" s="50">
        <v>46327</v>
      </c>
      <c r="L13" s="50">
        <v>46387</v>
      </c>
      <c r="M13" s="51">
        <v>-130</v>
      </c>
      <c r="N13" s="51">
        <v>-70</v>
      </c>
      <c r="O13" s="51">
        <v>115</v>
      </c>
      <c r="P13" s="51">
        <v>175</v>
      </c>
      <c r="Q13" s="52" t="s">
        <v>53</v>
      </c>
      <c r="R13" s="53" t="s">
        <v>54</v>
      </c>
      <c r="S13" s="46" t="s">
        <v>49</v>
      </c>
      <c r="T13" s="54">
        <v>25</v>
      </c>
      <c r="U13" s="54">
        <v>25</v>
      </c>
      <c r="V13" s="68">
        <v>0</v>
      </c>
    </row>
    <row r="14" spans="1:22">
      <c r="A14" s="66" t="s">
        <v>317</v>
      </c>
      <c r="B14" s="46" t="s">
        <v>41</v>
      </c>
      <c r="C14" s="47">
        <v>11200</v>
      </c>
      <c r="D14" s="46" t="s">
        <v>42</v>
      </c>
      <c r="E14" s="46" t="s">
        <v>43</v>
      </c>
      <c r="F14" s="48">
        <v>46174</v>
      </c>
      <c r="G14" s="49">
        <v>50</v>
      </c>
      <c r="H14" s="48">
        <v>46224</v>
      </c>
      <c r="I14" s="50">
        <v>46235</v>
      </c>
      <c r="J14" s="50">
        <v>46265</v>
      </c>
      <c r="K14" s="50">
        <v>46296</v>
      </c>
      <c r="L14" s="50">
        <v>46387</v>
      </c>
      <c r="M14" s="51">
        <v>11</v>
      </c>
      <c r="N14" s="51">
        <v>41</v>
      </c>
      <c r="O14" s="51">
        <v>72</v>
      </c>
      <c r="P14" s="51">
        <v>163</v>
      </c>
      <c r="Q14" s="52" t="s">
        <v>44</v>
      </c>
      <c r="R14" s="53" t="s">
        <v>45</v>
      </c>
      <c r="S14" s="46" t="s">
        <v>46</v>
      </c>
      <c r="T14" s="54">
        <v>28</v>
      </c>
      <c r="U14" s="54">
        <v>28</v>
      </c>
      <c r="V14" s="68">
        <v>0</v>
      </c>
    </row>
    <row r="15" spans="1:22">
      <c r="A15" s="66" t="s">
        <v>318</v>
      </c>
      <c r="B15" s="46" t="s">
        <v>41</v>
      </c>
      <c r="C15" s="47">
        <v>1800</v>
      </c>
      <c r="D15" s="46" t="s">
        <v>42</v>
      </c>
      <c r="E15" s="46" t="s">
        <v>43</v>
      </c>
      <c r="F15" s="48">
        <v>46174</v>
      </c>
      <c r="G15" s="49">
        <v>55</v>
      </c>
      <c r="H15" s="48">
        <v>46229</v>
      </c>
      <c r="I15" s="50">
        <v>46235</v>
      </c>
      <c r="J15" s="50">
        <v>46265</v>
      </c>
      <c r="K15" s="50">
        <v>46296</v>
      </c>
      <c r="L15" s="50">
        <v>46387</v>
      </c>
      <c r="M15" s="51">
        <v>6</v>
      </c>
      <c r="N15" s="51">
        <v>36</v>
      </c>
      <c r="O15" s="51">
        <v>67</v>
      </c>
      <c r="P15" s="51">
        <v>158</v>
      </c>
      <c r="Q15" s="52" t="s">
        <v>44</v>
      </c>
      <c r="R15" s="53" t="s">
        <v>45</v>
      </c>
      <c r="S15" s="46" t="s">
        <v>49</v>
      </c>
      <c r="T15" s="54">
        <v>4.5</v>
      </c>
      <c r="U15" s="54">
        <v>10.265625</v>
      </c>
      <c r="V15" s="68">
        <v>0</v>
      </c>
    </row>
    <row r="16" spans="1:22">
      <c r="A16" s="66" t="s">
        <v>318</v>
      </c>
      <c r="B16" s="46" t="s">
        <v>56</v>
      </c>
      <c r="C16" s="47">
        <v>2000</v>
      </c>
      <c r="D16" s="46" t="s">
        <v>42</v>
      </c>
      <c r="E16" s="46" t="s">
        <v>43</v>
      </c>
      <c r="F16" s="48">
        <v>46174</v>
      </c>
      <c r="G16" s="49">
        <v>55</v>
      </c>
      <c r="H16" s="48">
        <v>46229</v>
      </c>
      <c r="I16" s="50">
        <v>46235</v>
      </c>
      <c r="J16" s="50">
        <v>46265</v>
      </c>
      <c r="K16" s="50">
        <v>46296</v>
      </c>
      <c r="L16" s="50">
        <v>46387</v>
      </c>
      <c r="M16" s="51">
        <v>6</v>
      </c>
      <c r="N16" s="51">
        <v>36</v>
      </c>
      <c r="O16" s="51">
        <v>67</v>
      </c>
      <c r="P16" s="51">
        <v>158</v>
      </c>
      <c r="Q16" s="52" t="s">
        <v>44</v>
      </c>
      <c r="R16" s="53" t="s">
        <v>45</v>
      </c>
      <c r="S16" s="46" t="s">
        <v>49</v>
      </c>
      <c r="T16" s="54">
        <v>3.125</v>
      </c>
      <c r="U16" s="54">
        <v>10.265625</v>
      </c>
      <c r="V16" s="68">
        <v>0</v>
      </c>
    </row>
    <row r="17" spans="1:22">
      <c r="A17" s="66" t="s">
        <v>318</v>
      </c>
      <c r="B17" s="46" t="s">
        <v>55</v>
      </c>
      <c r="C17" s="47">
        <v>2704</v>
      </c>
      <c r="D17" s="46" t="s">
        <v>42</v>
      </c>
      <c r="E17" s="46" t="s">
        <v>43</v>
      </c>
      <c r="F17" s="48">
        <v>46174</v>
      </c>
      <c r="G17" s="49">
        <v>55</v>
      </c>
      <c r="H17" s="48">
        <v>46229</v>
      </c>
      <c r="I17" s="50">
        <v>46235</v>
      </c>
      <c r="J17" s="50">
        <v>46265</v>
      </c>
      <c r="K17" s="50">
        <v>46296</v>
      </c>
      <c r="L17" s="50">
        <v>46387</v>
      </c>
      <c r="M17" s="51">
        <v>6</v>
      </c>
      <c r="N17" s="51">
        <v>36</v>
      </c>
      <c r="O17" s="51">
        <v>67</v>
      </c>
      <c r="P17" s="51">
        <v>158</v>
      </c>
      <c r="Q17" s="52" t="s">
        <v>44</v>
      </c>
      <c r="R17" s="53" t="s">
        <v>45</v>
      </c>
      <c r="S17" s="46" t="s">
        <v>49</v>
      </c>
      <c r="T17" s="54">
        <v>2.640625</v>
      </c>
      <c r="U17" s="54">
        <v>10.265625</v>
      </c>
      <c r="V17" s="68">
        <v>0</v>
      </c>
    </row>
    <row r="18" spans="1:22">
      <c r="A18" s="66" t="s">
        <v>319</v>
      </c>
      <c r="B18" s="46" t="s">
        <v>50</v>
      </c>
      <c r="C18" s="47">
        <v>5000</v>
      </c>
      <c r="D18" s="46" t="s">
        <v>51</v>
      </c>
      <c r="E18" s="46" t="s">
        <v>52</v>
      </c>
      <c r="F18" s="48">
        <v>46174</v>
      </c>
      <c r="G18" s="49">
        <v>45</v>
      </c>
      <c r="H18" s="48">
        <v>46219</v>
      </c>
      <c r="I18" s="50">
        <v>46082</v>
      </c>
      <c r="J18" s="50">
        <v>46142</v>
      </c>
      <c r="K18" s="50">
        <v>46327</v>
      </c>
      <c r="L18" s="50">
        <v>46387</v>
      </c>
      <c r="M18" s="51">
        <v>-137</v>
      </c>
      <c r="N18" s="51">
        <v>-77</v>
      </c>
      <c r="O18" s="51">
        <v>108</v>
      </c>
      <c r="P18" s="51">
        <v>168</v>
      </c>
      <c r="Q18" s="52" t="s">
        <v>53</v>
      </c>
      <c r="R18" s="53" t="s">
        <v>54</v>
      </c>
      <c r="S18" s="46" t="s">
        <v>49</v>
      </c>
      <c r="T18" s="54">
        <v>25</v>
      </c>
      <c r="U18" s="54">
        <v>25</v>
      </c>
      <c r="V18" s="68">
        <v>0</v>
      </c>
    </row>
    <row r="19" spans="1:22" ht="15.6" customHeight="1">
      <c r="A19" s="66" t="s">
        <v>320</v>
      </c>
      <c r="B19" s="46" t="s">
        <v>58</v>
      </c>
      <c r="C19" s="47">
        <v>300</v>
      </c>
      <c r="D19" s="46" t="s">
        <v>57</v>
      </c>
      <c r="E19" s="46" t="s">
        <v>59</v>
      </c>
      <c r="F19" s="48">
        <v>46174</v>
      </c>
      <c r="G19" s="49">
        <v>30</v>
      </c>
      <c r="H19" s="48">
        <v>46204</v>
      </c>
      <c r="I19" s="50">
        <v>46204</v>
      </c>
      <c r="J19" s="50">
        <v>46234</v>
      </c>
      <c r="K19" s="50">
        <v>46327</v>
      </c>
      <c r="L19" s="50">
        <v>46387</v>
      </c>
      <c r="M19" s="51">
        <v>0</v>
      </c>
      <c r="N19" s="51">
        <v>30</v>
      </c>
      <c r="O19" s="51">
        <v>123</v>
      </c>
      <c r="P19" s="51">
        <v>183</v>
      </c>
      <c r="Q19" s="52" t="s">
        <v>63</v>
      </c>
      <c r="R19" s="53" t="s">
        <v>64</v>
      </c>
      <c r="S19" s="46" t="s">
        <v>49</v>
      </c>
      <c r="T19" s="54">
        <v>0.9375</v>
      </c>
      <c r="U19" s="54">
        <v>0.9375</v>
      </c>
      <c r="V19" s="68">
        <v>0</v>
      </c>
    </row>
    <row r="20" spans="1:22" s="64" customFormat="1">
      <c r="A20" s="99" t="s">
        <v>321</v>
      </c>
      <c r="B20" s="100" t="s">
        <v>41</v>
      </c>
      <c r="C20" s="101">
        <v>13776</v>
      </c>
      <c r="D20" s="100" t="s">
        <v>51</v>
      </c>
      <c r="E20" s="100" t="s">
        <v>52</v>
      </c>
      <c r="F20" s="102">
        <v>46181</v>
      </c>
      <c r="G20" s="103">
        <v>40</v>
      </c>
      <c r="H20" s="102">
        <v>46221</v>
      </c>
      <c r="I20" s="104">
        <v>46082</v>
      </c>
      <c r="J20" s="104">
        <v>46142</v>
      </c>
      <c r="K20" s="104">
        <v>46327</v>
      </c>
      <c r="L20" s="104">
        <v>46387</v>
      </c>
      <c r="M20" s="105">
        <v>-139</v>
      </c>
      <c r="N20" s="105">
        <v>-79</v>
      </c>
      <c r="O20" s="105">
        <v>106</v>
      </c>
      <c r="P20" s="105">
        <v>166</v>
      </c>
      <c r="Q20" s="106" t="s">
        <v>53</v>
      </c>
      <c r="R20" s="107" t="s">
        <v>54</v>
      </c>
      <c r="S20" s="100" t="s">
        <v>60</v>
      </c>
      <c r="T20" s="108">
        <v>34.44</v>
      </c>
      <c r="U20" s="108">
        <v>39.288437999999999</v>
      </c>
      <c r="V20" s="109"/>
    </row>
    <row r="21" spans="1:22">
      <c r="A21" s="65" t="s">
        <v>322</v>
      </c>
      <c r="B21" s="55" t="s">
        <v>56</v>
      </c>
      <c r="C21" s="56">
        <v>1228</v>
      </c>
      <c r="D21" s="55" t="s">
        <v>42</v>
      </c>
      <c r="E21" s="55" t="s">
        <v>43</v>
      </c>
      <c r="F21" s="57">
        <v>46181</v>
      </c>
      <c r="G21" s="58">
        <v>55</v>
      </c>
      <c r="H21" s="57">
        <v>46236</v>
      </c>
      <c r="I21" s="59">
        <v>46235</v>
      </c>
      <c r="J21" s="59">
        <v>46265</v>
      </c>
      <c r="K21" s="59">
        <v>46296</v>
      </c>
      <c r="L21" s="59">
        <v>46387</v>
      </c>
      <c r="M21" s="60">
        <v>-1</v>
      </c>
      <c r="N21" s="60">
        <v>29</v>
      </c>
      <c r="O21" s="60">
        <v>60</v>
      </c>
      <c r="P21" s="60">
        <v>151</v>
      </c>
      <c r="Q21" s="61" t="s">
        <v>63</v>
      </c>
      <c r="R21" s="62" t="s">
        <v>64</v>
      </c>
      <c r="S21" s="55" t="s">
        <v>49</v>
      </c>
      <c r="T21" s="63">
        <v>1.91875</v>
      </c>
      <c r="U21" s="63"/>
      <c r="V21" s="67"/>
    </row>
    <row r="22" spans="1:22">
      <c r="A22" s="65" t="s">
        <v>322</v>
      </c>
      <c r="B22" s="55" t="s">
        <v>55</v>
      </c>
      <c r="C22" s="56">
        <v>3000</v>
      </c>
      <c r="D22" s="55" t="s">
        <v>42</v>
      </c>
      <c r="E22" s="55" t="s">
        <v>43</v>
      </c>
      <c r="F22" s="57">
        <v>46181</v>
      </c>
      <c r="G22" s="58">
        <v>55</v>
      </c>
      <c r="H22" s="57">
        <v>46236</v>
      </c>
      <c r="I22" s="59">
        <v>46235</v>
      </c>
      <c r="J22" s="59">
        <v>46265</v>
      </c>
      <c r="K22" s="59">
        <v>46296</v>
      </c>
      <c r="L22" s="59">
        <v>46387</v>
      </c>
      <c r="M22" s="60">
        <v>-1</v>
      </c>
      <c r="N22" s="60">
        <v>29</v>
      </c>
      <c r="O22" s="60">
        <v>60</v>
      </c>
      <c r="P22" s="60">
        <v>151</v>
      </c>
      <c r="Q22" s="61" t="s">
        <v>63</v>
      </c>
      <c r="R22" s="62" t="s">
        <v>64</v>
      </c>
      <c r="S22" s="55" t="s">
        <v>49</v>
      </c>
      <c r="T22" s="63">
        <v>2.9296880000000001</v>
      </c>
      <c r="U22" s="63"/>
      <c r="V22" s="67"/>
    </row>
    <row r="23" spans="1:22">
      <c r="A23" s="66" t="s">
        <v>323</v>
      </c>
      <c r="B23" s="46" t="s">
        <v>50</v>
      </c>
      <c r="C23" s="47">
        <v>5000</v>
      </c>
      <c r="D23" s="46" t="s">
        <v>51</v>
      </c>
      <c r="E23" s="46" t="s">
        <v>52</v>
      </c>
      <c r="F23" s="48">
        <v>46181</v>
      </c>
      <c r="G23" s="49">
        <v>45</v>
      </c>
      <c r="H23" s="48">
        <v>46226</v>
      </c>
      <c r="I23" s="50">
        <v>46082</v>
      </c>
      <c r="J23" s="50">
        <v>46142</v>
      </c>
      <c r="K23" s="50">
        <v>46327</v>
      </c>
      <c r="L23" s="50">
        <v>46387</v>
      </c>
      <c r="M23" s="51">
        <v>-144</v>
      </c>
      <c r="N23" s="51">
        <v>-84</v>
      </c>
      <c r="O23" s="51">
        <v>101</v>
      </c>
      <c r="P23" s="51">
        <v>161</v>
      </c>
      <c r="Q23" s="52" t="s">
        <v>53</v>
      </c>
      <c r="R23" s="53" t="s">
        <v>54</v>
      </c>
      <c r="S23" s="46" t="s">
        <v>49</v>
      </c>
      <c r="T23" s="54">
        <v>25</v>
      </c>
      <c r="U23" s="54">
        <v>25</v>
      </c>
      <c r="V23" s="68">
        <v>0</v>
      </c>
    </row>
    <row r="24" spans="1:22">
      <c r="A24" s="66" t="s">
        <v>324</v>
      </c>
      <c r="B24" s="46" t="s">
        <v>41</v>
      </c>
      <c r="C24" s="47">
        <v>7060</v>
      </c>
      <c r="D24" s="46" t="s">
        <v>42</v>
      </c>
      <c r="E24" s="46" t="s">
        <v>43</v>
      </c>
      <c r="F24" s="48">
        <v>46188</v>
      </c>
      <c r="G24" s="49">
        <v>50</v>
      </c>
      <c r="H24" s="48">
        <v>46238</v>
      </c>
      <c r="I24" s="50">
        <v>46235</v>
      </c>
      <c r="J24" s="50">
        <v>46265</v>
      </c>
      <c r="K24" s="50">
        <v>46296</v>
      </c>
      <c r="L24" s="50">
        <v>46387</v>
      </c>
      <c r="M24" s="51">
        <v>-3</v>
      </c>
      <c r="N24" s="51">
        <v>27</v>
      </c>
      <c r="O24" s="51">
        <v>58</v>
      </c>
      <c r="P24" s="51">
        <v>149</v>
      </c>
      <c r="Q24" s="52" t="s">
        <v>63</v>
      </c>
      <c r="R24" s="53" t="s">
        <v>64</v>
      </c>
      <c r="S24" s="46" t="s">
        <v>46</v>
      </c>
      <c r="T24" s="54">
        <v>17.649999999999999</v>
      </c>
      <c r="U24" s="54">
        <v>27.998438</v>
      </c>
      <c r="V24" s="68">
        <v>1.562E-3</v>
      </c>
    </row>
    <row r="25" spans="1:22">
      <c r="A25" s="66" t="s">
        <v>324</v>
      </c>
      <c r="B25" s="46" t="s">
        <v>56</v>
      </c>
      <c r="C25" s="47">
        <v>4748</v>
      </c>
      <c r="D25" s="46" t="s">
        <v>42</v>
      </c>
      <c r="E25" s="46" t="s">
        <v>43</v>
      </c>
      <c r="F25" s="48">
        <v>46188</v>
      </c>
      <c r="G25" s="49">
        <v>50</v>
      </c>
      <c r="H25" s="48">
        <v>46238</v>
      </c>
      <c r="I25" s="50">
        <v>46235</v>
      </c>
      <c r="J25" s="50">
        <v>46265</v>
      </c>
      <c r="K25" s="50">
        <v>46296</v>
      </c>
      <c r="L25" s="50">
        <v>46387</v>
      </c>
      <c r="M25" s="51">
        <v>-3</v>
      </c>
      <c r="N25" s="51">
        <v>27</v>
      </c>
      <c r="O25" s="51">
        <v>58</v>
      </c>
      <c r="P25" s="51">
        <v>149</v>
      </c>
      <c r="Q25" s="52" t="s">
        <v>63</v>
      </c>
      <c r="R25" s="53" t="s">
        <v>64</v>
      </c>
      <c r="S25" s="46" t="s">
        <v>46</v>
      </c>
      <c r="T25" s="54">
        <v>7.4187500000000002</v>
      </c>
      <c r="U25" s="54">
        <v>27.998438</v>
      </c>
      <c r="V25" s="68">
        <v>1.562E-3</v>
      </c>
    </row>
    <row r="26" spans="1:22">
      <c r="A26" s="66" t="s">
        <v>324</v>
      </c>
      <c r="B26" s="46" t="s">
        <v>55</v>
      </c>
      <c r="C26" s="47">
        <v>3000</v>
      </c>
      <c r="D26" s="46" t="s">
        <v>42</v>
      </c>
      <c r="E26" s="46" t="s">
        <v>43</v>
      </c>
      <c r="F26" s="48">
        <v>46188</v>
      </c>
      <c r="G26" s="49">
        <v>50</v>
      </c>
      <c r="H26" s="48">
        <v>46238</v>
      </c>
      <c r="I26" s="50">
        <v>46235</v>
      </c>
      <c r="J26" s="50">
        <v>46265</v>
      </c>
      <c r="K26" s="50">
        <v>46296</v>
      </c>
      <c r="L26" s="50">
        <v>46387</v>
      </c>
      <c r="M26" s="51">
        <v>-3</v>
      </c>
      <c r="N26" s="51">
        <v>27</v>
      </c>
      <c r="O26" s="51">
        <v>58</v>
      </c>
      <c r="P26" s="51">
        <v>149</v>
      </c>
      <c r="Q26" s="52" t="s">
        <v>63</v>
      </c>
      <c r="R26" s="53" t="s">
        <v>64</v>
      </c>
      <c r="S26" s="46" t="s">
        <v>46</v>
      </c>
      <c r="T26" s="54">
        <v>2.9296880000000001</v>
      </c>
      <c r="U26" s="54">
        <v>27.998438</v>
      </c>
      <c r="V26" s="68">
        <v>1.562E-3</v>
      </c>
    </row>
    <row r="27" spans="1:22">
      <c r="A27" s="66" t="s">
        <v>325</v>
      </c>
      <c r="B27" s="46" t="s">
        <v>56</v>
      </c>
      <c r="C27" s="47">
        <v>564</v>
      </c>
      <c r="D27" s="46" t="s">
        <v>42</v>
      </c>
      <c r="E27" s="46" t="s">
        <v>43</v>
      </c>
      <c r="F27" s="48">
        <v>46188</v>
      </c>
      <c r="G27" s="49">
        <v>55</v>
      </c>
      <c r="H27" s="48">
        <v>46243</v>
      </c>
      <c r="I27" s="50">
        <v>46235</v>
      </c>
      <c r="J27" s="50">
        <v>46265</v>
      </c>
      <c r="K27" s="50">
        <v>46296</v>
      </c>
      <c r="L27" s="50">
        <v>46387</v>
      </c>
      <c r="M27" s="51">
        <v>-8</v>
      </c>
      <c r="N27" s="51">
        <v>22</v>
      </c>
      <c r="O27" s="51">
        <v>53</v>
      </c>
      <c r="P27" s="51">
        <v>144</v>
      </c>
      <c r="Q27" s="52" t="s">
        <v>63</v>
      </c>
      <c r="R27" s="53" t="s">
        <v>64</v>
      </c>
      <c r="S27" s="46" t="s">
        <v>49</v>
      </c>
      <c r="T27" s="54">
        <v>0.88124999999999998</v>
      </c>
      <c r="U27" s="54">
        <v>0.88124999999999998</v>
      </c>
      <c r="V27" s="68">
        <v>0</v>
      </c>
    </row>
    <row r="28" spans="1:22">
      <c r="A28" s="66" t="s">
        <v>326</v>
      </c>
      <c r="B28" s="46" t="s">
        <v>50</v>
      </c>
      <c r="C28" s="47">
        <v>5000</v>
      </c>
      <c r="D28" s="46" t="s">
        <v>51</v>
      </c>
      <c r="E28" s="46" t="s">
        <v>52</v>
      </c>
      <c r="F28" s="48">
        <v>46188</v>
      </c>
      <c r="G28" s="49">
        <v>45</v>
      </c>
      <c r="H28" s="48">
        <v>46233</v>
      </c>
      <c r="I28" s="50">
        <v>46082</v>
      </c>
      <c r="J28" s="50">
        <v>46142</v>
      </c>
      <c r="K28" s="50">
        <v>46327</v>
      </c>
      <c r="L28" s="50">
        <v>46387</v>
      </c>
      <c r="M28" s="51">
        <v>-151</v>
      </c>
      <c r="N28" s="51">
        <v>-91</v>
      </c>
      <c r="O28" s="51">
        <v>94</v>
      </c>
      <c r="P28" s="51">
        <v>154</v>
      </c>
      <c r="Q28" s="52" t="s">
        <v>53</v>
      </c>
      <c r="R28" s="53" t="s">
        <v>54</v>
      </c>
      <c r="S28" s="46" t="s">
        <v>49</v>
      </c>
      <c r="T28" s="54">
        <v>25</v>
      </c>
      <c r="U28" s="54">
        <v>25</v>
      </c>
      <c r="V28" s="68">
        <v>0</v>
      </c>
    </row>
    <row r="29" spans="1:22">
      <c r="A29" s="66" t="s">
        <v>327</v>
      </c>
      <c r="B29" s="46" t="s">
        <v>41</v>
      </c>
      <c r="C29" s="47">
        <v>2040</v>
      </c>
      <c r="D29" s="46" t="s">
        <v>42</v>
      </c>
      <c r="E29" s="46" t="s">
        <v>43</v>
      </c>
      <c r="F29" s="48">
        <v>46195</v>
      </c>
      <c r="G29" s="49">
        <v>50</v>
      </c>
      <c r="H29" s="48">
        <v>46245</v>
      </c>
      <c r="I29" s="50">
        <v>46235</v>
      </c>
      <c r="J29" s="50">
        <v>46265</v>
      </c>
      <c r="K29" s="50">
        <v>46296</v>
      </c>
      <c r="L29" s="50">
        <v>46387</v>
      </c>
      <c r="M29" s="51">
        <v>-10</v>
      </c>
      <c r="N29" s="51">
        <v>20</v>
      </c>
      <c r="O29" s="51">
        <v>51</v>
      </c>
      <c r="P29" s="51">
        <v>142</v>
      </c>
      <c r="Q29" s="52" t="s">
        <v>63</v>
      </c>
      <c r="R29" s="53" t="s">
        <v>64</v>
      </c>
      <c r="S29" s="46" t="s">
        <v>46</v>
      </c>
      <c r="T29" s="54">
        <v>5.0999999999999996</v>
      </c>
      <c r="U29" s="54">
        <v>16.040624999999999</v>
      </c>
      <c r="V29" s="68">
        <v>11.959375</v>
      </c>
    </row>
    <row r="30" spans="1:22">
      <c r="A30" s="66" t="s">
        <v>327</v>
      </c>
      <c r="B30" s="46" t="s">
        <v>56</v>
      </c>
      <c r="C30" s="47">
        <v>5312</v>
      </c>
      <c r="D30" s="46" t="s">
        <v>42</v>
      </c>
      <c r="E30" s="46" t="s">
        <v>43</v>
      </c>
      <c r="F30" s="48">
        <v>46195</v>
      </c>
      <c r="G30" s="49">
        <v>50</v>
      </c>
      <c r="H30" s="48">
        <v>46245</v>
      </c>
      <c r="I30" s="50">
        <v>46235</v>
      </c>
      <c r="J30" s="50">
        <v>46265</v>
      </c>
      <c r="K30" s="50">
        <v>46296</v>
      </c>
      <c r="L30" s="50">
        <v>46387</v>
      </c>
      <c r="M30" s="51">
        <v>-10</v>
      </c>
      <c r="N30" s="51">
        <v>20</v>
      </c>
      <c r="O30" s="51">
        <v>51</v>
      </c>
      <c r="P30" s="51">
        <v>142</v>
      </c>
      <c r="Q30" s="52" t="s">
        <v>63</v>
      </c>
      <c r="R30" s="53" t="s">
        <v>64</v>
      </c>
      <c r="S30" s="46" t="s">
        <v>46</v>
      </c>
      <c r="T30" s="54">
        <v>8.3000000000000007</v>
      </c>
      <c r="U30" s="54">
        <v>16.040624999999999</v>
      </c>
      <c r="V30" s="68">
        <v>11.959375</v>
      </c>
    </row>
    <row r="31" spans="1:22">
      <c r="A31" s="66" t="s">
        <v>327</v>
      </c>
      <c r="B31" s="46" t="s">
        <v>55</v>
      </c>
      <c r="C31" s="47">
        <v>2704</v>
      </c>
      <c r="D31" s="46" t="s">
        <v>42</v>
      </c>
      <c r="E31" s="46" t="s">
        <v>43</v>
      </c>
      <c r="F31" s="48">
        <v>46195</v>
      </c>
      <c r="G31" s="49">
        <v>50</v>
      </c>
      <c r="H31" s="48">
        <v>46245</v>
      </c>
      <c r="I31" s="50">
        <v>46235</v>
      </c>
      <c r="J31" s="50">
        <v>46265</v>
      </c>
      <c r="K31" s="50">
        <v>46296</v>
      </c>
      <c r="L31" s="50">
        <v>46387</v>
      </c>
      <c r="M31" s="51">
        <v>-10</v>
      </c>
      <c r="N31" s="51">
        <v>20</v>
      </c>
      <c r="O31" s="51">
        <v>51</v>
      </c>
      <c r="P31" s="51">
        <v>142</v>
      </c>
      <c r="Q31" s="52" t="s">
        <v>63</v>
      </c>
      <c r="R31" s="53" t="s">
        <v>64</v>
      </c>
      <c r="S31" s="46" t="s">
        <v>46</v>
      </c>
      <c r="T31" s="54">
        <v>2.640625</v>
      </c>
      <c r="U31" s="54">
        <v>16.040624999999999</v>
      </c>
      <c r="V31" s="68">
        <v>11.959375</v>
      </c>
    </row>
    <row r="32" spans="1:22">
      <c r="A32" s="66" t="s">
        <v>328</v>
      </c>
      <c r="B32" s="46" t="s">
        <v>50</v>
      </c>
      <c r="C32" s="47">
        <v>5000</v>
      </c>
      <c r="D32" s="46" t="s">
        <v>51</v>
      </c>
      <c r="E32" s="46" t="s">
        <v>52</v>
      </c>
      <c r="F32" s="48">
        <v>46195</v>
      </c>
      <c r="G32" s="49">
        <v>45</v>
      </c>
      <c r="H32" s="48">
        <v>46240</v>
      </c>
      <c r="I32" s="50">
        <v>46082</v>
      </c>
      <c r="J32" s="50">
        <v>46142</v>
      </c>
      <c r="K32" s="50">
        <v>46327</v>
      </c>
      <c r="L32" s="50">
        <v>46387</v>
      </c>
      <c r="M32" s="51">
        <v>-158</v>
      </c>
      <c r="N32" s="51">
        <v>-98</v>
      </c>
      <c r="O32" s="51">
        <v>87</v>
      </c>
      <c r="P32" s="51">
        <v>147</v>
      </c>
      <c r="Q32" s="52" t="s">
        <v>53</v>
      </c>
      <c r="R32" s="53" t="s">
        <v>54</v>
      </c>
      <c r="S32" s="46" t="s">
        <v>49</v>
      </c>
      <c r="T32" s="54">
        <v>25</v>
      </c>
      <c r="U32" s="54">
        <v>25</v>
      </c>
      <c r="V32" s="68">
        <v>0</v>
      </c>
    </row>
    <row r="33" spans="1:22">
      <c r="A33" s="66" t="s">
        <v>329</v>
      </c>
      <c r="B33" s="46" t="s">
        <v>58</v>
      </c>
      <c r="C33" s="47">
        <v>300</v>
      </c>
      <c r="D33" s="46" t="s">
        <v>57</v>
      </c>
      <c r="E33" s="46" t="s">
        <v>59</v>
      </c>
      <c r="F33" s="48">
        <v>46195</v>
      </c>
      <c r="G33" s="49">
        <v>30</v>
      </c>
      <c r="H33" s="48">
        <v>46225</v>
      </c>
      <c r="I33" s="50">
        <v>46204</v>
      </c>
      <c r="J33" s="50">
        <v>46234</v>
      </c>
      <c r="K33" s="50">
        <v>46327</v>
      </c>
      <c r="L33" s="50">
        <v>46387</v>
      </c>
      <c r="M33" s="51">
        <v>-21</v>
      </c>
      <c r="N33" s="51">
        <v>9</v>
      </c>
      <c r="O33" s="51">
        <v>102</v>
      </c>
      <c r="P33" s="51">
        <v>162</v>
      </c>
      <c r="Q33" s="52" t="s">
        <v>63</v>
      </c>
      <c r="R33" s="53" t="s">
        <v>64</v>
      </c>
      <c r="S33" s="46" t="s">
        <v>49</v>
      </c>
      <c r="T33" s="54">
        <v>0.9375</v>
      </c>
      <c r="U33" s="54">
        <v>0.9375</v>
      </c>
      <c r="V33" s="68">
        <v>0</v>
      </c>
    </row>
    <row r="34" spans="1:22">
      <c r="A34" s="66" t="s">
        <v>330</v>
      </c>
      <c r="B34" s="46" t="s">
        <v>41</v>
      </c>
      <c r="C34" s="47">
        <v>3544</v>
      </c>
      <c r="D34" s="46" t="s">
        <v>42</v>
      </c>
      <c r="E34" s="46" t="s">
        <v>47</v>
      </c>
      <c r="F34" s="48">
        <v>46202</v>
      </c>
      <c r="G34" s="49">
        <v>50</v>
      </c>
      <c r="H34" s="48">
        <v>46252</v>
      </c>
      <c r="I34" s="50">
        <v>46235</v>
      </c>
      <c r="J34" s="50">
        <v>46265</v>
      </c>
      <c r="K34" s="50">
        <v>46296</v>
      </c>
      <c r="L34" s="50">
        <v>46387</v>
      </c>
      <c r="M34" s="51">
        <v>-17</v>
      </c>
      <c r="N34" s="51">
        <v>13</v>
      </c>
      <c r="O34" s="51">
        <v>44</v>
      </c>
      <c r="P34" s="51">
        <v>135</v>
      </c>
      <c r="Q34" s="52" t="s">
        <v>63</v>
      </c>
      <c r="R34" s="53" t="s">
        <v>64</v>
      </c>
      <c r="S34" s="46" t="s">
        <v>46</v>
      </c>
      <c r="T34" s="54">
        <v>8.86</v>
      </c>
      <c r="U34" s="54">
        <v>16.608438</v>
      </c>
      <c r="V34" s="68">
        <v>11.391562</v>
      </c>
    </row>
    <row r="35" spans="1:22">
      <c r="A35" s="66" t="s">
        <v>330</v>
      </c>
      <c r="B35" s="46" t="s">
        <v>56</v>
      </c>
      <c r="C35" s="47">
        <v>3084</v>
      </c>
      <c r="D35" s="46" t="s">
        <v>42</v>
      </c>
      <c r="E35" s="46" t="s">
        <v>47</v>
      </c>
      <c r="F35" s="48">
        <v>46202</v>
      </c>
      <c r="G35" s="49">
        <v>50</v>
      </c>
      <c r="H35" s="48">
        <v>46252</v>
      </c>
      <c r="I35" s="50">
        <v>46235</v>
      </c>
      <c r="J35" s="50">
        <v>46265</v>
      </c>
      <c r="K35" s="50">
        <v>46296</v>
      </c>
      <c r="L35" s="50">
        <v>46387</v>
      </c>
      <c r="M35" s="51">
        <v>-17</v>
      </c>
      <c r="N35" s="51">
        <v>13</v>
      </c>
      <c r="O35" s="51">
        <v>44</v>
      </c>
      <c r="P35" s="51">
        <v>135</v>
      </c>
      <c r="Q35" s="52" t="s">
        <v>63</v>
      </c>
      <c r="R35" s="53" t="s">
        <v>64</v>
      </c>
      <c r="S35" s="46" t="s">
        <v>46</v>
      </c>
      <c r="T35" s="54">
        <v>4.8187499999999996</v>
      </c>
      <c r="U35" s="54">
        <v>16.608438</v>
      </c>
      <c r="V35" s="68">
        <v>11.391562</v>
      </c>
    </row>
    <row r="36" spans="1:22">
      <c r="A36" s="66" t="s">
        <v>330</v>
      </c>
      <c r="B36" s="46" t="s">
        <v>55</v>
      </c>
      <c r="C36" s="47">
        <v>3000</v>
      </c>
      <c r="D36" s="46" t="s">
        <v>42</v>
      </c>
      <c r="E36" s="46" t="s">
        <v>47</v>
      </c>
      <c r="F36" s="48">
        <v>46202</v>
      </c>
      <c r="G36" s="49">
        <v>50</v>
      </c>
      <c r="H36" s="48">
        <v>46252</v>
      </c>
      <c r="I36" s="50">
        <v>46235</v>
      </c>
      <c r="J36" s="50">
        <v>46265</v>
      </c>
      <c r="K36" s="50">
        <v>46296</v>
      </c>
      <c r="L36" s="50">
        <v>46387</v>
      </c>
      <c r="M36" s="51">
        <v>-17</v>
      </c>
      <c r="N36" s="51">
        <v>13</v>
      </c>
      <c r="O36" s="51">
        <v>44</v>
      </c>
      <c r="P36" s="51">
        <v>135</v>
      </c>
      <c r="Q36" s="52" t="s">
        <v>63</v>
      </c>
      <c r="R36" s="53" t="s">
        <v>64</v>
      </c>
      <c r="S36" s="46" t="s">
        <v>46</v>
      </c>
      <c r="T36" s="54">
        <v>2.9296880000000001</v>
      </c>
      <c r="U36" s="54">
        <v>16.608438</v>
      </c>
      <c r="V36" s="68">
        <v>11.391562</v>
      </c>
    </row>
    <row r="37" spans="1:22">
      <c r="A37" s="66" t="s">
        <v>331</v>
      </c>
      <c r="B37" s="46" t="s">
        <v>50</v>
      </c>
      <c r="C37" s="47">
        <v>5000</v>
      </c>
      <c r="D37" s="46" t="s">
        <v>51</v>
      </c>
      <c r="E37" s="46" t="s">
        <v>52</v>
      </c>
      <c r="F37" s="48">
        <v>46202</v>
      </c>
      <c r="G37" s="49">
        <v>45</v>
      </c>
      <c r="H37" s="48">
        <v>46247</v>
      </c>
      <c r="I37" s="50">
        <v>46082</v>
      </c>
      <c r="J37" s="50">
        <v>46142</v>
      </c>
      <c r="K37" s="50">
        <v>46327</v>
      </c>
      <c r="L37" s="50">
        <v>46387</v>
      </c>
      <c r="M37" s="51">
        <v>-165</v>
      </c>
      <c r="N37" s="51">
        <v>-105</v>
      </c>
      <c r="O37" s="51">
        <v>80</v>
      </c>
      <c r="P37" s="51">
        <v>140</v>
      </c>
      <c r="Q37" s="52" t="s">
        <v>53</v>
      </c>
      <c r="R37" s="53" t="s">
        <v>54</v>
      </c>
      <c r="S37" s="46" t="s">
        <v>49</v>
      </c>
      <c r="T37" s="54">
        <v>25</v>
      </c>
      <c r="U37" s="54">
        <v>25</v>
      </c>
      <c r="V37" s="68">
        <v>0</v>
      </c>
    </row>
    <row r="38" spans="1:22">
      <c r="A38" s="66" t="s">
        <v>332</v>
      </c>
      <c r="B38" s="46" t="s">
        <v>41</v>
      </c>
      <c r="C38" s="47">
        <v>11200</v>
      </c>
      <c r="D38" s="46" t="s">
        <v>42</v>
      </c>
      <c r="E38" s="46" t="s">
        <v>47</v>
      </c>
      <c r="F38" s="48">
        <v>46209</v>
      </c>
      <c r="G38" s="49">
        <v>50</v>
      </c>
      <c r="H38" s="48">
        <v>46259</v>
      </c>
      <c r="I38" s="50">
        <v>46235</v>
      </c>
      <c r="J38" s="50">
        <v>46265</v>
      </c>
      <c r="K38" s="50">
        <v>46296</v>
      </c>
      <c r="L38" s="50">
        <v>46387</v>
      </c>
      <c r="M38" s="51">
        <v>-24</v>
      </c>
      <c r="N38" s="51">
        <v>6</v>
      </c>
      <c r="O38" s="51">
        <v>37</v>
      </c>
      <c r="P38" s="51">
        <v>128</v>
      </c>
      <c r="Q38" s="52" t="s">
        <v>63</v>
      </c>
      <c r="R38" s="53" t="s">
        <v>64</v>
      </c>
      <c r="S38" s="46" t="s">
        <v>46</v>
      </c>
      <c r="T38" s="54">
        <v>28</v>
      </c>
      <c r="U38" s="54">
        <v>28</v>
      </c>
      <c r="V38" s="68">
        <v>0</v>
      </c>
    </row>
    <row r="39" spans="1:22">
      <c r="A39" s="66" t="s">
        <v>333</v>
      </c>
      <c r="B39" s="46" t="s">
        <v>41</v>
      </c>
      <c r="C39" s="47">
        <v>844</v>
      </c>
      <c r="D39" s="46" t="s">
        <v>42</v>
      </c>
      <c r="E39" s="46" t="s">
        <v>47</v>
      </c>
      <c r="F39" s="48">
        <v>46209</v>
      </c>
      <c r="G39" s="49">
        <v>55</v>
      </c>
      <c r="H39" s="48">
        <v>46264</v>
      </c>
      <c r="I39" s="50">
        <v>46235</v>
      </c>
      <c r="J39" s="50">
        <v>46265</v>
      </c>
      <c r="K39" s="50">
        <v>46296</v>
      </c>
      <c r="L39" s="50">
        <v>46387</v>
      </c>
      <c r="M39" s="51">
        <v>-29</v>
      </c>
      <c r="N39" s="51">
        <v>1</v>
      </c>
      <c r="O39" s="51">
        <v>32</v>
      </c>
      <c r="P39" s="51">
        <v>123</v>
      </c>
      <c r="Q39" s="52" t="s">
        <v>63</v>
      </c>
      <c r="R39" s="53" t="s">
        <v>64</v>
      </c>
      <c r="S39" s="46" t="s">
        <v>49</v>
      </c>
      <c r="T39" s="54">
        <v>2.11</v>
      </c>
      <c r="U39" s="54">
        <v>8.9849999999999994</v>
      </c>
      <c r="V39" s="68">
        <v>0</v>
      </c>
    </row>
    <row r="40" spans="1:22">
      <c r="A40" s="66" t="s">
        <v>333</v>
      </c>
      <c r="B40" s="46" t="s">
        <v>56</v>
      </c>
      <c r="C40" s="47">
        <v>2960</v>
      </c>
      <c r="D40" s="46" t="s">
        <v>42</v>
      </c>
      <c r="E40" s="46" t="s">
        <v>47</v>
      </c>
      <c r="F40" s="48">
        <v>46209</v>
      </c>
      <c r="G40" s="49">
        <v>55</v>
      </c>
      <c r="H40" s="48">
        <v>46264</v>
      </c>
      <c r="I40" s="50">
        <v>46235</v>
      </c>
      <c r="J40" s="50">
        <v>46265</v>
      </c>
      <c r="K40" s="50">
        <v>46296</v>
      </c>
      <c r="L40" s="50">
        <v>46387</v>
      </c>
      <c r="M40" s="51">
        <v>-29</v>
      </c>
      <c r="N40" s="51">
        <v>1</v>
      </c>
      <c r="O40" s="51">
        <v>32</v>
      </c>
      <c r="P40" s="51">
        <v>123</v>
      </c>
      <c r="Q40" s="52" t="s">
        <v>63</v>
      </c>
      <c r="R40" s="53" t="s">
        <v>64</v>
      </c>
      <c r="S40" s="46" t="s">
        <v>49</v>
      </c>
      <c r="T40" s="54">
        <v>4.625</v>
      </c>
      <c r="U40" s="54">
        <v>8.9849999999999994</v>
      </c>
      <c r="V40" s="68">
        <v>0</v>
      </c>
    </row>
    <row r="41" spans="1:22">
      <c r="A41" s="66" t="s">
        <v>333</v>
      </c>
      <c r="B41" s="46" t="s">
        <v>55</v>
      </c>
      <c r="C41" s="47">
        <v>2304</v>
      </c>
      <c r="D41" s="46" t="s">
        <v>42</v>
      </c>
      <c r="E41" s="46" t="s">
        <v>47</v>
      </c>
      <c r="F41" s="48">
        <v>46209</v>
      </c>
      <c r="G41" s="49">
        <v>55</v>
      </c>
      <c r="H41" s="48">
        <v>46264</v>
      </c>
      <c r="I41" s="50">
        <v>46235</v>
      </c>
      <c r="J41" s="50">
        <v>46265</v>
      </c>
      <c r="K41" s="50">
        <v>46296</v>
      </c>
      <c r="L41" s="50">
        <v>46387</v>
      </c>
      <c r="M41" s="51">
        <v>-29</v>
      </c>
      <c r="N41" s="51">
        <v>1</v>
      </c>
      <c r="O41" s="51">
        <v>32</v>
      </c>
      <c r="P41" s="51">
        <v>123</v>
      </c>
      <c r="Q41" s="52" t="s">
        <v>63</v>
      </c>
      <c r="R41" s="53" t="s">
        <v>64</v>
      </c>
      <c r="S41" s="46" t="s">
        <v>49</v>
      </c>
      <c r="T41" s="54">
        <v>2.25</v>
      </c>
      <c r="U41" s="54">
        <v>8.9849999999999994</v>
      </c>
      <c r="V41" s="68">
        <v>0</v>
      </c>
    </row>
    <row r="42" spans="1:22">
      <c r="A42" s="66" t="s">
        <v>334</v>
      </c>
      <c r="B42" s="46" t="s">
        <v>50</v>
      </c>
      <c r="C42" s="47">
        <v>2500</v>
      </c>
      <c r="D42" s="46" t="s">
        <v>51</v>
      </c>
      <c r="E42" s="46" t="s">
        <v>52</v>
      </c>
      <c r="F42" s="48">
        <v>46209</v>
      </c>
      <c r="G42" s="49">
        <v>45</v>
      </c>
      <c r="H42" s="48">
        <v>46254</v>
      </c>
      <c r="I42" s="50">
        <v>46082</v>
      </c>
      <c r="J42" s="50">
        <v>46142</v>
      </c>
      <c r="K42" s="50">
        <v>46327</v>
      </c>
      <c r="L42" s="50">
        <v>46387</v>
      </c>
      <c r="M42" s="51">
        <v>-172</v>
      </c>
      <c r="N42" s="51">
        <v>-112</v>
      </c>
      <c r="O42" s="51">
        <v>73</v>
      </c>
      <c r="P42" s="51">
        <v>133</v>
      </c>
      <c r="Q42" s="52" t="s">
        <v>53</v>
      </c>
      <c r="R42" s="53" t="s">
        <v>54</v>
      </c>
      <c r="S42" s="46" t="s">
        <v>49</v>
      </c>
      <c r="T42" s="54">
        <v>12.5</v>
      </c>
      <c r="U42" s="54">
        <v>13.28125</v>
      </c>
      <c r="V42" s="68">
        <v>0</v>
      </c>
    </row>
    <row r="43" spans="1:22">
      <c r="A43" s="66" t="s">
        <v>334</v>
      </c>
      <c r="B43" s="46" t="s">
        <v>61</v>
      </c>
      <c r="C43" s="47">
        <v>500</v>
      </c>
      <c r="D43" s="46" t="s">
        <v>51</v>
      </c>
      <c r="E43" s="46" t="s">
        <v>52</v>
      </c>
      <c r="F43" s="48">
        <v>46209</v>
      </c>
      <c r="G43" s="49">
        <v>45</v>
      </c>
      <c r="H43" s="48">
        <v>46254</v>
      </c>
      <c r="I43" s="50">
        <v>46082</v>
      </c>
      <c r="J43" s="50">
        <v>46142</v>
      </c>
      <c r="K43" s="50">
        <v>46327</v>
      </c>
      <c r="L43" s="50">
        <v>46387</v>
      </c>
      <c r="M43" s="51">
        <v>-172</v>
      </c>
      <c r="N43" s="51">
        <v>-112</v>
      </c>
      <c r="O43" s="51">
        <v>73</v>
      </c>
      <c r="P43" s="51">
        <v>133</v>
      </c>
      <c r="Q43" s="52" t="s">
        <v>53</v>
      </c>
      <c r="R43" s="53" t="s">
        <v>54</v>
      </c>
      <c r="S43" s="46" t="s">
        <v>49</v>
      </c>
      <c r="T43" s="54">
        <v>0.78125</v>
      </c>
      <c r="U43" s="54">
        <v>13.28125</v>
      </c>
      <c r="V43" s="68">
        <v>0</v>
      </c>
    </row>
    <row r="44" spans="1:22">
      <c r="A44" s="66" t="s">
        <v>335</v>
      </c>
      <c r="B44" s="46" t="s">
        <v>58</v>
      </c>
      <c r="C44" s="47">
        <v>700</v>
      </c>
      <c r="D44" s="46" t="s">
        <v>57</v>
      </c>
      <c r="E44" s="46" t="s">
        <v>59</v>
      </c>
      <c r="F44" s="48">
        <v>46209</v>
      </c>
      <c r="G44" s="49">
        <v>30</v>
      </c>
      <c r="H44" s="48">
        <v>46239</v>
      </c>
      <c r="I44" s="50">
        <v>46204</v>
      </c>
      <c r="J44" s="50">
        <v>46234</v>
      </c>
      <c r="K44" s="50">
        <v>46327</v>
      </c>
      <c r="L44" s="50">
        <v>46387</v>
      </c>
      <c r="M44" s="51">
        <v>-35</v>
      </c>
      <c r="N44" s="51">
        <v>-5</v>
      </c>
      <c r="O44" s="51">
        <v>88</v>
      </c>
      <c r="P44" s="51">
        <v>148</v>
      </c>
      <c r="Q44" s="52" t="s">
        <v>53</v>
      </c>
      <c r="R44" s="53" t="s">
        <v>54</v>
      </c>
      <c r="S44" s="46" t="s">
        <v>49</v>
      </c>
      <c r="T44" s="54">
        <v>2.1875</v>
      </c>
      <c r="U44" s="54">
        <v>2.1875</v>
      </c>
      <c r="V44" s="68">
        <v>0</v>
      </c>
    </row>
    <row r="45" spans="1:22">
      <c r="A45" s="66" t="s">
        <v>336</v>
      </c>
      <c r="B45" s="46" t="s">
        <v>41</v>
      </c>
      <c r="C45" s="47">
        <v>11200</v>
      </c>
      <c r="D45" s="46" t="s">
        <v>42</v>
      </c>
      <c r="E45" s="46" t="s">
        <v>47</v>
      </c>
      <c r="F45" s="48">
        <v>46216</v>
      </c>
      <c r="G45" s="49">
        <v>50</v>
      </c>
      <c r="H45" s="48">
        <v>46266</v>
      </c>
      <c r="I45" s="50">
        <v>46235</v>
      </c>
      <c r="J45" s="50">
        <v>46265</v>
      </c>
      <c r="K45" s="50">
        <v>46296</v>
      </c>
      <c r="L45" s="50">
        <v>46387</v>
      </c>
      <c r="M45" s="51">
        <v>-31</v>
      </c>
      <c r="N45" s="51">
        <v>-1</v>
      </c>
      <c r="O45" s="51">
        <v>30</v>
      </c>
      <c r="P45" s="51">
        <v>121</v>
      </c>
      <c r="Q45" s="52" t="s">
        <v>53</v>
      </c>
      <c r="R45" s="53" t="s">
        <v>54</v>
      </c>
      <c r="S45" s="46" t="s">
        <v>46</v>
      </c>
      <c r="T45" s="54">
        <v>28</v>
      </c>
      <c r="U45" s="54">
        <v>28</v>
      </c>
      <c r="V45" s="68">
        <v>0</v>
      </c>
    </row>
    <row r="46" spans="1:22">
      <c r="A46" s="66" t="s">
        <v>337</v>
      </c>
      <c r="B46" s="46" t="s">
        <v>41</v>
      </c>
      <c r="C46" s="47">
        <v>840</v>
      </c>
      <c r="D46" s="46" t="s">
        <v>42</v>
      </c>
      <c r="E46" s="46" t="s">
        <v>47</v>
      </c>
      <c r="F46" s="48">
        <v>46216</v>
      </c>
      <c r="G46" s="49">
        <v>55</v>
      </c>
      <c r="H46" s="48">
        <v>46271</v>
      </c>
      <c r="I46" s="50">
        <v>46235</v>
      </c>
      <c r="J46" s="50">
        <v>46265</v>
      </c>
      <c r="K46" s="50">
        <v>46296</v>
      </c>
      <c r="L46" s="50">
        <v>46387</v>
      </c>
      <c r="M46" s="51">
        <v>-36</v>
      </c>
      <c r="N46" s="51">
        <v>-6</v>
      </c>
      <c r="O46" s="51">
        <v>25</v>
      </c>
      <c r="P46" s="51">
        <v>116</v>
      </c>
      <c r="Q46" s="52" t="s">
        <v>53</v>
      </c>
      <c r="R46" s="53" t="s">
        <v>54</v>
      </c>
      <c r="S46" s="46" t="s">
        <v>49</v>
      </c>
      <c r="T46" s="54">
        <v>2.1</v>
      </c>
      <c r="U46" s="54">
        <v>9.3656249999999996</v>
      </c>
      <c r="V46" s="68">
        <v>0</v>
      </c>
    </row>
    <row r="47" spans="1:22">
      <c r="A47" s="66" t="s">
        <v>337</v>
      </c>
      <c r="B47" s="46" t="s">
        <v>56</v>
      </c>
      <c r="C47" s="47">
        <v>2960</v>
      </c>
      <c r="D47" s="46" t="s">
        <v>42</v>
      </c>
      <c r="E47" s="46" t="s">
        <v>47</v>
      </c>
      <c r="F47" s="48">
        <v>46216</v>
      </c>
      <c r="G47" s="49">
        <v>55</v>
      </c>
      <c r="H47" s="48">
        <v>46271</v>
      </c>
      <c r="I47" s="50">
        <v>46235</v>
      </c>
      <c r="J47" s="50">
        <v>46265</v>
      </c>
      <c r="K47" s="50">
        <v>46296</v>
      </c>
      <c r="L47" s="50">
        <v>46387</v>
      </c>
      <c r="M47" s="51">
        <v>-36</v>
      </c>
      <c r="N47" s="51">
        <v>-6</v>
      </c>
      <c r="O47" s="51">
        <v>25</v>
      </c>
      <c r="P47" s="51">
        <v>116</v>
      </c>
      <c r="Q47" s="52" t="s">
        <v>53</v>
      </c>
      <c r="R47" s="53" t="s">
        <v>54</v>
      </c>
      <c r="S47" s="46" t="s">
        <v>49</v>
      </c>
      <c r="T47" s="54">
        <v>4.625</v>
      </c>
      <c r="U47" s="54">
        <v>9.3656249999999996</v>
      </c>
      <c r="V47" s="68">
        <v>0</v>
      </c>
    </row>
    <row r="48" spans="1:22">
      <c r="A48" s="66" t="s">
        <v>337</v>
      </c>
      <c r="B48" s="46" t="s">
        <v>55</v>
      </c>
      <c r="C48" s="47">
        <v>2704</v>
      </c>
      <c r="D48" s="46" t="s">
        <v>42</v>
      </c>
      <c r="E48" s="46" t="s">
        <v>47</v>
      </c>
      <c r="F48" s="48">
        <v>46216</v>
      </c>
      <c r="G48" s="49">
        <v>55</v>
      </c>
      <c r="H48" s="48">
        <v>46271</v>
      </c>
      <c r="I48" s="50">
        <v>46235</v>
      </c>
      <c r="J48" s="50">
        <v>46265</v>
      </c>
      <c r="K48" s="50">
        <v>46296</v>
      </c>
      <c r="L48" s="50">
        <v>46387</v>
      </c>
      <c r="M48" s="51">
        <v>-36</v>
      </c>
      <c r="N48" s="51">
        <v>-6</v>
      </c>
      <c r="O48" s="51">
        <v>25</v>
      </c>
      <c r="P48" s="51">
        <v>116</v>
      </c>
      <c r="Q48" s="52" t="s">
        <v>53</v>
      </c>
      <c r="R48" s="53" t="s">
        <v>54</v>
      </c>
      <c r="S48" s="46" t="s">
        <v>49</v>
      </c>
      <c r="T48" s="54">
        <v>2.640625</v>
      </c>
      <c r="U48" s="54">
        <v>9.3656249999999996</v>
      </c>
      <c r="V48" s="68">
        <v>0</v>
      </c>
    </row>
    <row r="49" spans="1:22">
      <c r="A49" s="66" t="s">
        <v>338</v>
      </c>
      <c r="B49" s="46" t="s">
        <v>50</v>
      </c>
      <c r="C49" s="47">
        <v>2500</v>
      </c>
      <c r="D49" s="46" t="s">
        <v>51</v>
      </c>
      <c r="E49" s="46" t="s">
        <v>52</v>
      </c>
      <c r="F49" s="48">
        <v>46216</v>
      </c>
      <c r="G49" s="49">
        <v>45</v>
      </c>
      <c r="H49" s="48">
        <v>46261</v>
      </c>
      <c r="I49" s="50">
        <v>46082</v>
      </c>
      <c r="J49" s="50">
        <v>46142</v>
      </c>
      <c r="K49" s="50">
        <v>46327</v>
      </c>
      <c r="L49" s="50">
        <v>46387</v>
      </c>
      <c r="M49" s="51">
        <v>-179</v>
      </c>
      <c r="N49" s="51">
        <v>-119</v>
      </c>
      <c r="O49" s="51">
        <v>66</v>
      </c>
      <c r="P49" s="51">
        <v>126</v>
      </c>
      <c r="Q49" s="52" t="s">
        <v>53</v>
      </c>
      <c r="R49" s="53" t="s">
        <v>54</v>
      </c>
      <c r="S49" s="46" t="s">
        <v>49</v>
      </c>
      <c r="T49" s="54">
        <v>12.5</v>
      </c>
      <c r="U49" s="54">
        <v>13.28125</v>
      </c>
      <c r="V49" s="68">
        <v>0</v>
      </c>
    </row>
    <row r="50" spans="1:22">
      <c r="A50" s="66" t="s">
        <v>338</v>
      </c>
      <c r="B50" s="46" t="s">
        <v>61</v>
      </c>
      <c r="C50" s="47">
        <v>500</v>
      </c>
      <c r="D50" s="46" t="s">
        <v>51</v>
      </c>
      <c r="E50" s="46" t="s">
        <v>52</v>
      </c>
      <c r="F50" s="48">
        <v>46216</v>
      </c>
      <c r="G50" s="49">
        <v>45</v>
      </c>
      <c r="H50" s="48">
        <v>46261</v>
      </c>
      <c r="I50" s="50">
        <v>46082</v>
      </c>
      <c r="J50" s="50">
        <v>46142</v>
      </c>
      <c r="K50" s="50">
        <v>46327</v>
      </c>
      <c r="L50" s="50">
        <v>46387</v>
      </c>
      <c r="M50" s="51">
        <v>-179</v>
      </c>
      <c r="N50" s="51">
        <v>-119</v>
      </c>
      <c r="O50" s="51">
        <v>66</v>
      </c>
      <c r="P50" s="51">
        <v>126</v>
      </c>
      <c r="Q50" s="52" t="s">
        <v>53</v>
      </c>
      <c r="R50" s="53" t="s">
        <v>54</v>
      </c>
      <c r="S50" s="46" t="s">
        <v>49</v>
      </c>
      <c r="T50" s="54">
        <v>0.78125</v>
      </c>
      <c r="U50" s="54">
        <v>13.28125</v>
      </c>
      <c r="V50" s="68">
        <v>0</v>
      </c>
    </row>
    <row r="51" spans="1:22">
      <c r="A51" s="66" t="s">
        <v>339</v>
      </c>
      <c r="B51" s="46" t="s">
        <v>58</v>
      </c>
      <c r="C51" s="47">
        <v>300</v>
      </c>
      <c r="D51" s="46" t="s">
        <v>57</v>
      </c>
      <c r="E51" s="46" t="s">
        <v>59</v>
      </c>
      <c r="F51" s="48">
        <v>46216</v>
      </c>
      <c r="G51" s="49">
        <v>30</v>
      </c>
      <c r="H51" s="48">
        <v>46246</v>
      </c>
      <c r="I51" s="50">
        <v>46204</v>
      </c>
      <c r="J51" s="50">
        <v>46234</v>
      </c>
      <c r="K51" s="50">
        <v>46327</v>
      </c>
      <c r="L51" s="50">
        <v>46387</v>
      </c>
      <c r="M51" s="51">
        <v>-42</v>
      </c>
      <c r="N51" s="51">
        <v>-12</v>
      </c>
      <c r="O51" s="51">
        <v>81</v>
      </c>
      <c r="P51" s="51">
        <v>141</v>
      </c>
      <c r="Q51" s="52" t="s">
        <v>53</v>
      </c>
      <c r="R51" s="53" t="s">
        <v>54</v>
      </c>
      <c r="S51" s="46" t="s">
        <v>49</v>
      </c>
      <c r="T51" s="54">
        <v>0.9375</v>
      </c>
      <c r="U51" s="54">
        <v>0.9375</v>
      </c>
      <c r="V51" s="68">
        <v>0</v>
      </c>
    </row>
    <row r="52" spans="1:22">
      <c r="A52" s="66" t="s">
        <v>340</v>
      </c>
      <c r="B52" s="46" t="s">
        <v>41</v>
      </c>
      <c r="C52" s="47">
        <v>9240</v>
      </c>
      <c r="D52" s="46" t="s">
        <v>42</v>
      </c>
      <c r="E52" s="46" t="s">
        <v>43</v>
      </c>
      <c r="F52" s="48">
        <v>46223</v>
      </c>
      <c r="G52" s="49">
        <v>50</v>
      </c>
      <c r="H52" s="48">
        <v>46273</v>
      </c>
      <c r="I52" s="50">
        <v>46235</v>
      </c>
      <c r="J52" s="50">
        <v>46265</v>
      </c>
      <c r="K52" s="50">
        <v>46296</v>
      </c>
      <c r="L52" s="50">
        <v>46387</v>
      </c>
      <c r="M52" s="51">
        <v>-38</v>
      </c>
      <c r="N52" s="51">
        <v>-8</v>
      </c>
      <c r="O52" s="51">
        <v>23</v>
      </c>
      <c r="P52" s="51">
        <v>114</v>
      </c>
      <c r="Q52" s="52" t="s">
        <v>53</v>
      </c>
      <c r="R52" s="53" t="s">
        <v>54</v>
      </c>
      <c r="S52" s="46" t="s">
        <v>46</v>
      </c>
      <c r="T52" s="54">
        <v>23.1</v>
      </c>
      <c r="U52" s="54">
        <v>28</v>
      </c>
      <c r="V52" s="68">
        <v>0</v>
      </c>
    </row>
    <row r="53" spans="1:22">
      <c r="A53" s="66" t="s">
        <v>340</v>
      </c>
      <c r="B53" s="46" t="s">
        <v>56</v>
      </c>
      <c r="C53" s="47">
        <v>1456</v>
      </c>
      <c r="D53" s="46" t="s">
        <v>42</v>
      </c>
      <c r="E53" s="46" t="s">
        <v>43</v>
      </c>
      <c r="F53" s="48">
        <v>46223</v>
      </c>
      <c r="G53" s="49">
        <v>50</v>
      </c>
      <c r="H53" s="48">
        <v>46273</v>
      </c>
      <c r="I53" s="50">
        <v>46235</v>
      </c>
      <c r="J53" s="50">
        <v>46265</v>
      </c>
      <c r="K53" s="50">
        <v>46296</v>
      </c>
      <c r="L53" s="50">
        <v>46387</v>
      </c>
      <c r="M53" s="51">
        <v>-38</v>
      </c>
      <c r="N53" s="51">
        <v>-8</v>
      </c>
      <c r="O53" s="51">
        <v>23</v>
      </c>
      <c r="P53" s="51">
        <v>114</v>
      </c>
      <c r="Q53" s="52" t="s">
        <v>53</v>
      </c>
      <c r="R53" s="53" t="s">
        <v>54</v>
      </c>
      <c r="S53" s="46" t="s">
        <v>46</v>
      </c>
      <c r="T53" s="54">
        <v>2.2749999999999999</v>
      </c>
      <c r="U53" s="54">
        <v>28</v>
      </c>
      <c r="V53" s="68">
        <v>0</v>
      </c>
    </row>
    <row r="54" spans="1:22">
      <c r="A54" s="66" t="s">
        <v>340</v>
      </c>
      <c r="B54" s="46" t="s">
        <v>55</v>
      </c>
      <c r="C54" s="47">
        <v>2688</v>
      </c>
      <c r="D54" s="46" t="s">
        <v>42</v>
      </c>
      <c r="E54" s="46" t="s">
        <v>43</v>
      </c>
      <c r="F54" s="48">
        <v>46223</v>
      </c>
      <c r="G54" s="49">
        <v>50</v>
      </c>
      <c r="H54" s="48">
        <v>46273</v>
      </c>
      <c r="I54" s="50">
        <v>46235</v>
      </c>
      <c r="J54" s="50">
        <v>46265</v>
      </c>
      <c r="K54" s="50">
        <v>46296</v>
      </c>
      <c r="L54" s="50">
        <v>46387</v>
      </c>
      <c r="M54" s="51">
        <v>-38</v>
      </c>
      <c r="N54" s="51">
        <v>-8</v>
      </c>
      <c r="O54" s="51">
        <v>23</v>
      </c>
      <c r="P54" s="51">
        <v>114</v>
      </c>
      <c r="Q54" s="52" t="s">
        <v>53</v>
      </c>
      <c r="R54" s="53" t="s">
        <v>54</v>
      </c>
      <c r="S54" s="46" t="s">
        <v>46</v>
      </c>
      <c r="T54" s="54">
        <v>2.625</v>
      </c>
      <c r="U54" s="54">
        <v>28</v>
      </c>
      <c r="V54" s="68">
        <v>0</v>
      </c>
    </row>
    <row r="55" spans="1:22">
      <c r="A55" s="66" t="s">
        <v>341</v>
      </c>
      <c r="B55" s="46" t="s">
        <v>41</v>
      </c>
      <c r="C55" s="47">
        <v>8</v>
      </c>
      <c r="D55" s="46" t="s">
        <v>42</v>
      </c>
      <c r="E55" s="46" t="s">
        <v>47</v>
      </c>
      <c r="F55" s="48">
        <v>46223</v>
      </c>
      <c r="G55" s="49">
        <v>55</v>
      </c>
      <c r="H55" s="48">
        <v>46278</v>
      </c>
      <c r="I55" s="50">
        <v>46235</v>
      </c>
      <c r="J55" s="50">
        <v>46265</v>
      </c>
      <c r="K55" s="50">
        <v>46296</v>
      </c>
      <c r="L55" s="50">
        <v>46387</v>
      </c>
      <c r="M55" s="51">
        <v>-43</v>
      </c>
      <c r="N55" s="51">
        <v>-13</v>
      </c>
      <c r="O55" s="51">
        <v>18</v>
      </c>
      <c r="P55" s="51">
        <v>109</v>
      </c>
      <c r="Q55" s="52" t="s">
        <v>53</v>
      </c>
      <c r="R55" s="53" t="s">
        <v>54</v>
      </c>
      <c r="S55" s="46" t="s">
        <v>49</v>
      </c>
      <c r="T55" s="54">
        <v>0.02</v>
      </c>
      <c r="U55" s="54">
        <v>2.4481250000000001</v>
      </c>
      <c r="V55" s="68">
        <v>0</v>
      </c>
    </row>
    <row r="56" spans="1:22">
      <c r="A56" s="66" t="s">
        <v>341</v>
      </c>
      <c r="B56" s="46" t="s">
        <v>56</v>
      </c>
      <c r="C56" s="47">
        <v>1544</v>
      </c>
      <c r="D56" s="46" t="s">
        <v>42</v>
      </c>
      <c r="E56" s="46" t="s">
        <v>47</v>
      </c>
      <c r="F56" s="48">
        <v>46223</v>
      </c>
      <c r="G56" s="49">
        <v>55</v>
      </c>
      <c r="H56" s="48">
        <v>46278</v>
      </c>
      <c r="I56" s="50">
        <v>46235</v>
      </c>
      <c r="J56" s="50">
        <v>46265</v>
      </c>
      <c r="K56" s="50">
        <v>46296</v>
      </c>
      <c r="L56" s="50">
        <v>46387</v>
      </c>
      <c r="M56" s="51">
        <v>-43</v>
      </c>
      <c r="N56" s="51">
        <v>-13</v>
      </c>
      <c r="O56" s="51">
        <v>18</v>
      </c>
      <c r="P56" s="51">
        <v>109</v>
      </c>
      <c r="Q56" s="52" t="s">
        <v>53</v>
      </c>
      <c r="R56" s="53" t="s">
        <v>54</v>
      </c>
      <c r="S56" s="46" t="s">
        <v>49</v>
      </c>
      <c r="T56" s="54">
        <v>2.4125000000000001</v>
      </c>
      <c r="U56" s="54">
        <v>2.4481250000000001</v>
      </c>
      <c r="V56" s="68">
        <v>0</v>
      </c>
    </row>
    <row r="57" spans="1:22">
      <c r="A57" s="66" t="s">
        <v>341</v>
      </c>
      <c r="B57" s="46" t="s">
        <v>55</v>
      </c>
      <c r="C57" s="47">
        <v>16</v>
      </c>
      <c r="D57" s="46" t="s">
        <v>42</v>
      </c>
      <c r="E57" s="46" t="s">
        <v>47</v>
      </c>
      <c r="F57" s="48">
        <v>46223</v>
      </c>
      <c r="G57" s="49">
        <v>55</v>
      </c>
      <c r="H57" s="48">
        <v>46278</v>
      </c>
      <c r="I57" s="50">
        <v>46235</v>
      </c>
      <c r="J57" s="50">
        <v>46265</v>
      </c>
      <c r="K57" s="50">
        <v>46296</v>
      </c>
      <c r="L57" s="50">
        <v>46387</v>
      </c>
      <c r="M57" s="51">
        <v>-43</v>
      </c>
      <c r="N57" s="51">
        <v>-13</v>
      </c>
      <c r="O57" s="51">
        <v>18</v>
      </c>
      <c r="P57" s="51">
        <v>109</v>
      </c>
      <c r="Q57" s="52" t="s">
        <v>53</v>
      </c>
      <c r="R57" s="53" t="s">
        <v>54</v>
      </c>
      <c r="S57" s="46" t="s">
        <v>49</v>
      </c>
      <c r="T57" s="54">
        <v>1.5625E-2</v>
      </c>
      <c r="U57" s="54">
        <v>2.4481250000000001</v>
      </c>
      <c r="V57" s="68">
        <v>0</v>
      </c>
    </row>
    <row r="58" spans="1:22">
      <c r="A58" s="66" t="s">
        <v>342</v>
      </c>
      <c r="B58" s="46" t="s">
        <v>50</v>
      </c>
      <c r="C58" s="47">
        <v>2500</v>
      </c>
      <c r="D58" s="46" t="s">
        <v>51</v>
      </c>
      <c r="E58" s="46" t="s">
        <v>52</v>
      </c>
      <c r="F58" s="48">
        <v>46223</v>
      </c>
      <c r="G58" s="49">
        <v>45</v>
      </c>
      <c r="H58" s="48">
        <v>46268</v>
      </c>
      <c r="I58" s="50">
        <v>46082</v>
      </c>
      <c r="J58" s="50">
        <v>46142</v>
      </c>
      <c r="K58" s="50">
        <v>46327</v>
      </c>
      <c r="L58" s="50">
        <v>46387</v>
      </c>
      <c r="M58" s="51">
        <v>-186</v>
      </c>
      <c r="N58" s="51">
        <v>-126</v>
      </c>
      <c r="O58" s="51">
        <v>59</v>
      </c>
      <c r="P58" s="51">
        <v>119</v>
      </c>
      <c r="Q58" s="52" t="s">
        <v>53</v>
      </c>
      <c r="R58" s="53" t="s">
        <v>54</v>
      </c>
      <c r="S58" s="46" t="s">
        <v>49</v>
      </c>
      <c r="T58" s="54">
        <v>12.5</v>
      </c>
      <c r="U58" s="54">
        <v>13.28125</v>
      </c>
      <c r="V58" s="68">
        <v>0</v>
      </c>
    </row>
    <row r="59" spans="1:22">
      <c r="A59" s="66" t="s">
        <v>342</v>
      </c>
      <c r="B59" s="46" t="s">
        <v>61</v>
      </c>
      <c r="C59" s="47">
        <v>500</v>
      </c>
      <c r="D59" s="46" t="s">
        <v>51</v>
      </c>
      <c r="E59" s="46" t="s">
        <v>52</v>
      </c>
      <c r="F59" s="48">
        <v>46223</v>
      </c>
      <c r="G59" s="49">
        <v>45</v>
      </c>
      <c r="H59" s="48">
        <v>46268</v>
      </c>
      <c r="I59" s="50">
        <v>46082</v>
      </c>
      <c r="J59" s="50">
        <v>46142</v>
      </c>
      <c r="K59" s="50">
        <v>46327</v>
      </c>
      <c r="L59" s="50">
        <v>46387</v>
      </c>
      <c r="M59" s="51">
        <v>-186</v>
      </c>
      <c r="N59" s="51">
        <v>-126</v>
      </c>
      <c r="O59" s="51">
        <v>59</v>
      </c>
      <c r="P59" s="51">
        <v>119</v>
      </c>
      <c r="Q59" s="52" t="s">
        <v>53</v>
      </c>
      <c r="R59" s="53" t="s">
        <v>54</v>
      </c>
      <c r="S59" s="46" t="s">
        <v>49</v>
      </c>
      <c r="T59" s="54">
        <v>0.78125</v>
      </c>
      <c r="U59" s="54">
        <v>13.28125</v>
      </c>
      <c r="V59" s="68">
        <v>0</v>
      </c>
    </row>
    <row r="60" spans="1:22">
      <c r="A60" s="66" t="s">
        <v>343</v>
      </c>
      <c r="B60" s="46" t="s">
        <v>58</v>
      </c>
      <c r="C60" s="47">
        <v>300</v>
      </c>
      <c r="D60" s="46" t="s">
        <v>57</v>
      </c>
      <c r="E60" s="46" t="s">
        <v>59</v>
      </c>
      <c r="F60" s="48">
        <v>46223</v>
      </c>
      <c r="G60" s="49">
        <v>30</v>
      </c>
      <c r="H60" s="48">
        <v>46253</v>
      </c>
      <c r="I60" s="50">
        <v>46204</v>
      </c>
      <c r="J60" s="50">
        <v>46234</v>
      </c>
      <c r="K60" s="50">
        <v>46327</v>
      </c>
      <c r="L60" s="50">
        <v>46387</v>
      </c>
      <c r="M60" s="51">
        <v>-49</v>
      </c>
      <c r="N60" s="51">
        <v>-19</v>
      </c>
      <c r="O60" s="51">
        <v>74</v>
      </c>
      <c r="P60" s="51">
        <v>134</v>
      </c>
      <c r="Q60" s="52" t="s">
        <v>53</v>
      </c>
      <c r="R60" s="53" t="s">
        <v>54</v>
      </c>
      <c r="S60" s="46" t="s">
        <v>49</v>
      </c>
      <c r="T60" s="54">
        <v>0.9375</v>
      </c>
      <c r="U60" s="54">
        <v>0.9375</v>
      </c>
      <c r="V60" s="68">
        <v>0</v>
      </c>
    </row>
    <row r="61" spans="1:22">
      <c r="A61" s="66" t="s">
        <v>344</v>
      </c>
      <c r="B61" s="46" t="s">
        <v>41</v>
      </c>
      <c r="C61" s="47">
        <v>5756</v>
      </c>
      <c r="D61" s="46" t="s">
        <v>42</v>
      </c>
      <c r="E61" s="46" t="s">
        <v>47</v>
      </c>
      <c r="F61" s="48">
        <v>46230</v>
      </c>
      <c r="G61" s="49">
        <v>50</v>
      </c>
      <c r="H61" s="48">
        <v>46280</v>
      </c>
      <c r="I61" s="50">
        <v>46235</v>
      </c>
      <c r="J61" s="50">
        <v>46265</v>
      </c>
      <c r="K61" s="50">
        <v>46296</v>
      </c>
      <c r="L61" s="50">
        <v>46387</v>
      </c>
      <c r="M61" s="51">
        <v>-45</v>
      </c>
      <c r="N61" s="51">
        <v>-15</v>
      </c>
      <c r="O61" s="51">
        <v>16</v>
      </c>
      <c r="P61" s="51">
        <v>107</v>
      </c>
      <c r="Q61" s="52" t="s">
        <v>53</v>
      </c>
      <c r="R61" s="53" t="s">
        <v>54</v>
      </c>
      <c r="S61" s="46" t="s">
        <v>46</v>
      </c>
      <c r="T61" s="54">
        <v>14.39</v>
      </c>
      <c r="U61" s="54">
        <v>24.530625000000001</v>
      </c>
      <c r="V61" s="68">
        <v>3.4693749999999999</v>
      </c>
    </row>
    <row r="62" spans="1:22">
      <c r="A62" s="66" t="s">
        <v>344</v>
      </c>
      <c r="B62" s="46" t="s">
        <v>56</v>
      </c>
      <c r="C62" s="47">
        <v>4800</v>
      </c>
      <c r="D62" s="46" t="s">
        <v>42</v>
      </c>
      <c r="E62" s="46" t="s">
        <v>47</v>
      </c>
      <c r="F62" s="48">
        <v>46230</v>
      </c>
      <c r="G62" s="49">
        <v>50</v>
      </c>
      <c r="H62" s="48">
        <v>46280</v>
      </c>
      <c r="I62" s="50">
        <v>46235</v>
      </c>
      <c r="J62" s="50">
        <v>46265</v>
      </c>
      <c r="K62" s="50">
        <v>46296</v>
      </c>
      <c r="L62" s="50">
        <v>46387</v>
      </c>
      <c r="M62" s="51">
        <v>-45</v>
      </c>
      <c r="N62" s="51">
        <v>-15</v>
      </c>
      <c r="O62" s="51">
        <v>16</v>
      </c>
      <c r="P62" s="51">
        <v>107</v>
      </c>
      <c r="Q62" s="52" t="s">
        <v>53</v>
      </c>
      <c r="R62" s="53" t="s">
        <v>54</v>
      </c>
      <c r="S62" s="46" t="s">
        <v>46</v>
      </c>
      <c r="T62" s="54">
        <v>7.5</v>
      </c>
      <c r="U62" s="54">
        <v>24.530625000000001</v>
      </c>
      <c r="V62" s="68">
        <v>3.4693749999999999</v>
      </c>
    </row>
    <row r="63" spans="1:22">
      <c r="A63" s="66" t="s">
        <v>344</v>
      </c>
      <c r="B63" s="46" t="s">
        <v>55</v>
      </c>
      <c r="C63" s="47">
        <v>2704</v>
      </c>
      <c r="D63" s="46" t="s">
        <v>42</v>
      </c>
      <c r="E63" s="46" t="s">
        <v>47</v>
      </c>
      <c r="F63" s="48">
        <v>46230</v>
      </c>
      <c r="G63" s="49">
        <v>50</v>
      </c>
      <c r="H63" s="48">
        <v>46280</v>
      </c>
      <c r="I63" s="50">
        <v>46235</v>
      </c>
      <c r="J63" s="50">
        <v>46265</v>
      </c>
      <c r="K63" s="50">
        <v>46296</v>
      </c>
      <c r="L63" s="50">
        <v>46387</v>
      </c>
      <c r="M63" s="51">
        <v>-45</v>
      </c>
      <c r="N63" s="51">
        <v>-15</v>
      </c>
      <c r="O63" s="51">
        <v>16</v>
      </c>
      <c r="P63" s="51">
        <v>107</v>
      </c>
      <c r="Q63" s="52" t="s">
        <v>53</v>
      </c>
      <c r="R63" s="53" t="s">
        <v>54</v>
      </c>
      <c r="S63" s="46" t="s">
        <v>46</v>
      </c>
      <c r="T63" s="54">
        <v>2.640625</v>
      </c>
      <c r="U63" s="54">
        <v>24.530625000000001</v>
      </c>
      <c r="V63" s="68">
        <v>3.4693749999999999</v>
      </c>
    </row>
    <row r="64" spans="1:22">
      <c r="A64" s="66" t="s">
        <v>345</v>
      </c>
      <c r="B64" s="46" t="s">
        <v>50</v>
      </c>
      <c r="C64" s="47">
        <v>1000</v>
      </c>
      <c r="D64" s="46" t="s">
        <v>51</v>
      </c>
      <c r="E64" s="46" t="s">
        <v>52</v>
      </c>
      <c r="F64" s="48">
        <v>46230</v>
      </c>
      <c r="G64" s="49">
        <v>45</v>
      </c>
      <c r="H64" s="48">
        <v>46275</v>
      </c>
      <c r="I64" s="50">
        <v>46082</v>
      </c>
      <c r="J64" s="50">
        <v>46142</v>
      </c>
      <c r="K64" s="50">
        <v>46327</v>
      </c>
      <c r="L64" s="50">
        <v>46387</v>
      </c>
      <c r="M64" s="51">
        <v>-193</v>
      </c>
      <c r="N64" s="51">
        <v>-133</v>
      </c>
      <c r="O64" s="51">
        <v>52</v>
      </c>
      <c r="P64" s="51">
        <v>112</v>
      </c>
      <c r="Q64" s="52" t="s">
        <v>53</v>
      </c>
      <c r="R64" s="53" t="s">
        <v>54</v>
      </c>
      <c r="S64" s="46" t="s">
        <v>49</v>
      </c>
      <c r="T64" s="54">
        <v>5</v>
      </c>
      <c r="U64" s="54">
        <v>5</v>
      </c>
      <c r="V64" s="68">
        <v>0</v>
      </c>
    </row>
    <row r="65" spans="1:22">
      <c r="A65" s="75" t="s">
        <v>346</v>
      </c>
      <c r="B65" s="76" t="s">
        <v>58</v>
      </c>
      <c r="C65" s="77">
        <v>300</v>
      </c>
      <c r="D65" s="76" t="s">
        <v>57</v>
      </c>
      <c r="E65" s="76" t="s">
        <v>59</v>
      </c>
      <c r="F65" s="78">
        <v>46230</v>
      </c>
      <c r="G65" s="79">
        <v>30</v>
      </c>
      <c r="H65" s="78">
        <v>46260</v>
      </c>
      <c r="I65" s="80">
        <v>46204</v>
      </c>
      <c r="J65" s="80">
        <v>46234</v>
      </c>
      <c r="K65" s="80">
        <v>46327</v>
      </c>
      <c r="L65" s="80">
        <v>46387</v>
      </c>
      <c r="M65" s="81">
        <v>-56</v>
      </c>
      <c r="N65" s="81">
        <v>-26</v>
      </c>
      <c r="O65" s="81">
        <v>67</v>
      </c>
      <c r="P65" s="81">
        <v>127</v>
      </c>
      <c r="Q65" s="82" t="s">
        <v>53</v>
      </c>
      <c r="R65" s="83" t="s">
        <v>54</v>
      </c>
      <c r="S65" s="76" t="s">
        <v>49</v>
      </c>
      <c r="T65" s="84">
        <v>0.9375</v>
      </c>
      <c r="U65" s="84">
        <v>0.9375</v>
      </c>
      <c r="V65" s="85">
        <v>0</v>
      </c>
    </row>
    <row r="66" spans="1:22">
      <c r="A66" s="3"/>
      <c r="B66" s="3"/>
      <c r="C66" s="3"/>
      <c r="D66" s="3"/>
      <c r="E66" s="3"/>
      <c r="F66" s="4"/>
      <c r="G66" s="3"/>
      <c r="H66" s="4"/>
      <c r="I66" s="4"/>
      <c r="J66" s="4"/>
      <c r="K66" s="4"/>
      <c r="L66" s="4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>
      <c r="A67" s="3"/>
      <c r="B67" s="3"/>
      <c r="C67" s="3"/>
      <c r="D67" s="3"/>
      <c r="E67" s="3"/>
      <c r="F67" s="4"/>
      <c r="G67" s="3"/>
      <c r="H67" s="4"/>
      <c r="I67" s="4"/>
      <c r="J67" s="4"/>
      <c r="K67" s="4"/>
      <c r="L67" s="4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>
      <c r="A68" s="3"/>
      <c r="B68" s="3"/>
      <c r="C68" s="3"/>
      <c r="D68" s="3"/>
      <c r="E68" s="3"/>
      <c r="F68" s="4"/>
      <c r="G68" s="3"/>
      <c r="H68" s="4"/>
      <c r="I68" s="4"/>
      <c r="J68" s="4"/>
      <c r="K68" s="4"/>
      <c r="L68" s="4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>
      <c r="A69" s="3"/>
      <c r="B69" s="3"/>
      <c r="C69" s="3"/>
      <c r="D69" s="3"/>
      <c r="E69" s="3"/>
      <c r="F69" s="4"/>
      <c r="G69" s="3"/>
      <c r="H69" s="4"/>
      <c r="I69" s="4"/>
      <c r="J69" s="4"/>
      <c r="K69" s="4"/>
      <c r="L69" s="4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>
      <c r="A70" s="3"/>
      <c r="B70" s="3"/>
      <c r="C70" s="3"/>
      <c r="D70" s="3"/>
      <c r="E70" s="3"/>
      <c r="F70" s="4"/>
      <c r="G70" s="3"/>
      <c r="H70" s="4"/>
      <c r="I70" s="4"/>
      <c r="J70" s="4"/>
      <c r="K70" s="4"/>
      <c r="L70" s="4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>
      <c r="A71" s="3"/>
      <c r="B71" s="3"/>
      <c r="C71" s="3"/>
      <c r="D71" s="3"/>
      <c r="E71" s="3"/>
      <c r="F71" s="4"/>
      <c r="G71" s="3"/>
      <c r="H71" s="4"/>
      <c r="I71" s="4"/>
      <c r="J71" s="4"/>
      <c r="K71" s="4"/>
      <c r="L71" s="4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>
      <c r="A72" s="3"/>
      <c r="B72" s="3"/>
      <c r="C72" s="3"/>
      <c r="D72" s="3"/>
      <c r="E72" s="3"/>
      <c r="F72" s="4"/>
      <c r="G72" s="3"/>
      <c r="H72" s="4"/>
      <c r="I72" s="4"/>
      <c r="J72" s="4"/>
      <c r="K72" s="4"/>
      <c r="L72" s="4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>
      <c r="A73" s="3"/>
      <c r="B73" s="3"/>
      <c r="C73" s="3"/>
      <c r="D73" s="3"/>
      <c r="E73" s="3"/>
      <c r="F73" s="4"/>
      <c r="G73" s="3"/>
      <c r="H73" s="4"/>
      <c r="I73" s="4"/>
      <c r="J73" s="4"/>
      <c r="K73" s="4"/>
      <c r="L73" s="4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>
      <c r="A74" s="3"/>
      <c r="B74" s="3"/>
      <c r="C74" s="3"/>
      <c r="D74" s="3"/>
      <c r="E74" s="3"/>
      <c r="F74" s="4"/>
      <c r="G74" s="3"/>
      <c r="H74" s="4"/>
      <c r="I74" s="4"/>
      <c r="J74" s="4"/>
      <c r="K74" s="4"/>
      <c r="L74" s="4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>
      <c r="A75" s="3"/>
      <c r="B75" s="3"/>
      <c r="C75" s="3"/>
      <c r="D75" s="3"/>
      <c r="E75" s="3"/>
      <c r="F75" s="4"/>
      <c r="G75" s="3"/>
      <c r="H75" s="4"/>
      <c r="I75" s="4"/>
      <c r="J75" s="4"/>
      <c r="K75" s="4"/>
      <c r="L75" s="4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>
      <c r="A76" s="3"/>
      <c r="B76" s="3"/>
      <c r="C76" s="3"/>
      <c r="D76" s="3"/>
      <c r="E76" s="3"/>
      <c r="F76" s="4"/>
      <c r="G76" s="3"/>
      <c r="H76" s="4"/>
      <c r="I76" s="4"/>
      <c r="J76" s="4"/>
      <c r="K76" s="4"/>
      <c r="L76" s="4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>
      <c r="A77" s="3"/>
      <c r="B77" s="3"/>
      <c r="C77" s="3"/>
      <c r="D77" s="3"/>
      <c r="E77" s="3"/>
      <c r="F77" s="4"/>
      <c r="G77" s="3"/>
      <c r="H77" s="4"/>
      <c r="I77" s="4"/>
      <c r="J77" s="4"/>
      <c r="K77" s="4"/>
      <c r="L77" s="4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>
      <c r="A78" s="3"/>
      <c r="B78" s="3"/>
      <c r="C78" s="3"/>
      <c r="D78" s="3"/>
      <c r="E78" s="3"/>
      <c r="F78" s="4"/>
      <c r="G78" s="3"/>
      <c r="H78" s="4"/>
      <c r="I78" s="4"/>
      <c r="J78" s="4"/>
      <c r="K78" s="4"/>
      <c r="L78" s="4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>
      <c r="A79" s="3"/>
      <c r="B79" s="3"/>
      <c r="C79" s="3"/>
      <c r="D79" s="3"/>
      <c r="E79" s="3"/>
      <c r="F79" s="4"/>
      <c r="G79" s="3"/>
      <c r="H79" s="4"/>
      <c r="I79" s="4"/>
      <c r="J79" s="4"/>
      <c r="K79" s="4"/>
      <c r="L79" s="4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>
      <c r="A80" s="3"/>
      <c r="B80" s="3"/>
      <c r="C80" s="3"/>
      <c r="D80" s="3"/>
      <c r="E80" s="3"/>
      <c r="F80" s="4"/>
      <c r="G80" s="3"/>
      <c r="H80" s="4"/>
      <c r="I80" s="4"/>
      <c r="J80" s="4"/>
      <c r="K80" s="4"/>
      <c r="L80" s="4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>
      <c r="A81" s="3"/>
      <c r="B81" s="3"/>
      <c r="C81" s="3"/>
      <c r="D81" s="3"/>
      <c r="E81" s="3"/>
      <c r="F81" s="4"/>
      <c r="G81" s="3"/>
      <c r="H81" s="4"/>
      <c r="I81" s="4"/>
      <c r="J81" s="4"/>
      <c r="K81" s="4"/>
      <c r="L81" s="4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>
      <c r="A82" s="3"/>
      <c r="B82" s="3"/>
      <c r="C82" s="3"/>
      <c r="D82" s="3"/>
      <c r="E82" s="3"/>
      <c r="F82" s="4"/>
      <c r="G82" s="3"/>
      <c r="H82" s="4"/>
      <c r="I82" s="4"/>
      <c r="J82" s="4"/>
      <c r="K82" s="4"/>
      <c r="L82" s="4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>
      <c r="A83" s="3"/>
      <c r="B83" s="3"/>
      <c r="C83" s="3"/>
      <c r="D83" s="3"/>
      <c r="E83" s="3"/>
      <c r="F83" s="4"/>
      <c r="G83" s="3"/>
      <c r="H83" s="4"/>
      <c r="I83" s="4"/>
      <c r="J83" s="4"/>
      <c r="K83" s="4"/>
      <c r="L83" s="4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>
      <c r="A84" s="3"/>
      <c r="B84" s="3"/>
      <c r="C84" s="3"/>
      <c r="D84" s="3"/>
      <c r="E84" s="3"/>
      <c r="F84" s="4"/>
      <c r="G84" s="3"/>
      <c r="H84" s="4"/>
      <c r="I84" s="4"/>
      <c r="J84" s="4"/>
      <c r="K84" s="4"/>
      <c r="L84" s="4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>
      <c r="A85" s="3"/>
      <c r="B85" s="3"/>
      <c r="C85" s="3"/>
      <c r="D85" s="3"/>
      <c r="E85" s="3"/>
      <c r="F85" s="4"/>
      <c r="G85" s="3"/>
      <c r="H85" s="4"/>
      <c r="I85" s="4"/>
      <c r="J85" s="4"/>
      <c r="K85" s="4"/>
      <c r="L85" s="4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>
      <c r="A86" s="3"/>
      <c r="B86" s="3"/>
      <c r="C86" s="3"/>
      <c r="D86" s="3"/>
      <c r="E86" s="3"/>
      <c r="F86" s="4"/>
      <c r="G86" s="3"/>
      <c r="H86" s="4"/>
      <c r="I86" s="4"/>
      <c r="J86" s="4"/>
      <c r="K86" s="4"/>
      <c r="L86" s="4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>
      <c r="A87" s="3"/>
      <c r="B87" s="3"/>
      <c r="C87" s="3"/>
      <c r="D87" s="3"/>
      <c r="E87" s="3"/>
      <c r="F87" s="4"/>
      <c r="G87" s="3"/>
      <c r="H87" s="4"/>
      <c r="I87" s="4"/>
      <c r="J87" s="4"/>
      <c r="K87" s="4"/>
      <c r="L87" s="4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>
      <c r="A88" s="3"/>
      <c r="B88" s="3"/>
      <c r="C88" s="3"/>
      <c r="D88" s="3"/>
      <c r="E88" s="3"/>
      <c r="F88" s="4"/>
      <c r="G88" s="3"/>
      <c r="H88" s="4"/>
      <c r="I88" s="4"/>
      <c r="J88" s="4"/>
      <c r="K88" s="4"/>
      <c r="L88" s="4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>
      <c r="A89" s="3"/>
      <c r="B89" s="3"/>
      <c r="C89" s="3"/>
      <c r="D89" s="3"/>
      <c r="E89" s="3"/>
      <c r="F89" s="4"/>
      <c r="G89" s="3"/>
      <c r="H89" s="4"/>
      <c r="I89" s="4"/>
      <c r="J89" s="4"/>
      <c r="K89" s="4"/>
      <c r="L89" s="4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>
      <c r="A90" s="3"/>
      <c r="B90" s="3"/>
      <c r="C90" s="3"/>
      <c r="D90" s="3"/>
      <c r="E90" s="3"/>
      <c r="F90" s="4"/>
      <c r="G90" s="3"/>
      <c r="H90" s="4"/>
      <c r="I90" s="4"/>
      <c r="J90" s="4"/>
      <c r="K90" s="4"/>
      <c r="L90" s="4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>
      <c r="A91" s="3"/>
      <c r="B91" s="3"/>
      <c r="C91" s="3"/>
      <c r="D91" s="3"/>
      <c r="E91" s="3"/>
      <c r="F91" s="4"/>
      <c r="G91" s="3"/>
      <c r="H91" s="4"/>
      <c r="I91" s="4"/>
      <c r="J91" s="4"/>
      <c r="K91" s="4"/>
      <c r="L91" s="4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>
      <c r="A92" s="3"/>
      <c r="B92" s="3"/>
      <c r="C92" s="3"/>
      <c r="D92" s="3"/>
      <c r="E92" s="3"/>
      <c r="F92" s="4"/>
      <c r="G92" s="3"/>
      <c r="H92" s="4"/>
      <c r="I92" s="4"/>
      <c r="J92" s="4"/>
      <c r="K92" s="4"/>
      <c r="L92" s="4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>
      <c r="A93" s="3"/>
      <c r="B93" s="3"/>
      <c r="C93" s="3"/>
      <c r="D93" s="3"/>
      <c r="E93" s="3"/>
      <c r="F93" s="4"/>
      <c r="G93" s="3"/>
      <c r="H93" s="4"/>
      <c r="I93" s="4"/>
      <c r="J93" s="4"/>
      <c r="K93" s="4"/>
      <c r="L93" s="4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>
      <c r="A94" s="3"/>
      <c r="B94" s="3"/>
      <c r="C94" s="3"/>
      <c r="D94" s="3"/>
      <c r="E94" s="3"/>
      <c r="F94" s="4"/>
      <c r="G94" s="3"/>
      <c r="H94" s="4"/>
      <c r="I94" s="4"/>
      <c r="J94" s="4"/>
      <c r="K94" s="4"/>
      <c r="L94" s="4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>
      <c r="A95" s="3"/>
      <c r="B95" s="3"/>
      <c r="C95" s="3"/>
      <c r="D95" s="3"/>
      <c r="E95" s="3"/>
      <c r="F95" s="4"/>
      <c r="G95" s="3"/>
      <c r="H95" s="4"/>
      <c r="I95" s="4"/>
      <c r="J95" s="4"/>
      <c r="K95" s="4"/>
      <c r="L95" s="4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>
      <c r="A96" s="3"/>
      <c r="B96" s="3"/>
      <c r="C96" s="3"/>
      <c r="D96" s="3"/>
      <c r="E96" s="3"/>
      <c r="F96" s="4"/>
      <c r="G96" s="3"/>
      <c r="H96" s="4"/>
      <c r="I96" s="4"/>
      <c r="J96" s="4"/>
      <c r="K96" s="4"/>
      <c r="L96" s="4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>
      <c r="A97" s="3"/>
      <c r="B97" s="3"/>
      <c r="C97" s="3"/>
      <c r="D97" s="3"/>
      <c r="E97" s="3"/>
      <c r="F97" s="4"/>
      <c r="G97" s="3"/>
      <c r="H97" s="4"/>
      <c r="I97" s="4"/>
      <c r="J97" s="4"/>
      <c r="K97" s="4"/>
      <c r="L97" s="4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>
      <c r="A98" s="3"/>
      <c r="B98" s="3"/>
      <c r="C98" s="3"/>
      <c r="D98" s="3"/>
      <c r="E98" s="3"/>
      <c r="F98" s="4"/>
      <c r="G98" s="3"/>
      <c r="H98" s="4"/>
      <c r="I98" s="4"/>
      <c r="J98" s="4"/>
      <c r="K98" s="4"/>
      <c r="L98" s="4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00"/>
  <sheetViews>
    <sheetView workbookViewId="0">
      <selection activeCell="B2" sqref="B2"/>
    </sheetView>
  </sheetViews>
  <sheetFormatPr defaultRowHeight="13.8"/>
  <cols>
    <col min="1" max="1" width="18" customWidth="1"/>
    <col min="2" max="2" width="30" customWidth="1"/>
    <col min="3" max="3" width="10" customWidth="1"/>
    <col min="4" max="4" width="12" customWidth="1"/>
    <col min="5" max="5" width="10" customWidth="1"/>
    <col min="6" max="6" width="14" customWidth="1"/>
    <col min="7" max="7" width="12" customWidth="1"/>
    <col min="8" max="8" width="13.8984375" bestFit="1" customWidth="1"/>
    <col min="9" max="9" width="14.19921875" customWidth="1"/>
    <col min="11" max="11" width="18" customWidth="1"/>
    <col min="12" max="12" width="70" customWidth="1"/>
  </cols>
  <sheetData>
    <row r="1" spans="1:34" ht="19.2" customHeight="1">
      <c r="A1" s="1" t="s">
        <v>65</v>
      </c>
      <c r="B1" s="1" t="s">
        <v>308</v>
      </c>
      <c r="C1" s="1" t="s">
        <v>29</v>
      </c>
      <c r="D1" s="1" t="s">
        <v>30</v>
      </c>
      <c r="E1" s="1" t="s">
        <v>31</v>
      </c>
      <c r="F1" s="1" t="s">
        <v>62</v>
      </c>
      <c r="G1" s="1" t="s">
        <v>67</v>
      </c>
      <c r="H1" s="96" t="s">
        <v>304</v>
      </c>
      <c r="I1" s="95" t="s">
        <v>307</v>
      </c>
      <c r="J1" s="3"/>
      <c r="K1" s="1" t="s">
        <v>68</v>
      </c>
      <c r="L1" s="10" t="s">
        <v>69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</row>
    <row r="2" spans="1:34">
      <c r="A2" s="3" t="s">
        <v>70</v>
      </c>
      <c r="B2" s="3" t="s">
        <v>309</v>
      </c>
      <c r="C2" s="3" t="s">
        <v>41</v>
      </c>
      <c r="D2" s="5">
        <v>20000</v>
      </c>
      <c r="E2" s="3" t="s">
        <v>42</v>
      </c>
      <c r="F2" s="3" t="s">
        <v>47</v>
      </c>
      <c r="G2" s="3" t="s">
        <v>71</v>
      </c>
      <c r="H2" s="93" t="s">
        <v>305</v>
      </c>
      <c r="I2" s="94" t="s">
        <v>306</v>
      </c>
      <c r="J2" s="3"/>
      <c r="K2" s="1" t="s">
        <v>72</v>
      </c>
      <c r="L2" s="10" t="s">
        <v>73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>
      <c r="A3" s="3" t="s">
        <v>74</v>
      </c>
      <c r="B3" s="3" t="s">
        <v>321</v>
      </c>
      <c r="C3" s="3" t="s">
        <v>41</v>
      </c>
      <c r="D3" s="5">
        <v>13773</v>
      </c>
      <c r="E3" s="3" t="s">
        <v>51</v>
      </c>
      <c r="F3" s="3" t="s">
        <v>52</v>
      </c>
      <c r="G3" s="3" t="s">
        <v>71</v>
      </c>
      <c r="H3" s="93" t="s">
        <v>305</v>
      </c>
      <c r="I3" s="94" t="s">
        <v>306</v>
      </c>
      <c r="J3" s="3"/>
      <c r="K3" s="1" t="s">
        <v>75</v>
      </c>
      <c r="L3" s="10" t="s">
        <v>76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4">
      <c r="A4" s="3"/>
      <c r="B4" s="3"/>
      <c r="C4" s="3"/>
      <c r="D4" s="3"/>
      <c r="E4" s="3"/>
      <c r="F4" s="3"/>
      <c r="G4" s="3"/>
      <c r="H4" s="3"/>
      <c r="I4" s="3"/>
      <c r="J4" s="3"/>
      <c r="K4" s="1" t="s">
        <v>77</v>
      </c>
      <c r="L4" s="10" t="s">
        <v>78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4">
      <c r="A5" s="3"/>
      <c r="B5" s="3"/>
      <c r="C5" s="3"/>
      <c r="D5" s="3"/>
      <c r="E5" s="3"/>
      <c r="F5" s="3"/>
      <c r="G5" s="3"/>
      <c r="H5" s="3"/>
      <c r="I5" s="3"/>
      <c r="J5" s="3"/>
      <c r="K5" s="1" t="s">
        <v>79</v>
      </c>
      <c r="L5" s="10" t="s">
        <v>80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4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1:3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1:3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1:3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1:3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1:3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1:3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spans="1:3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spans="1:3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spans="1:3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spans="1:3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spans="1:3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spans="1:3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spans="1:3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spans="1:3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spans="1:3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spans="1:3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spans="1:3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1:3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1:3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spans="1:3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spans="1:3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spans="1:3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spans="1:3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spans="1:3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spans="1:3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spans="1:3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spans="1:3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spans="1:3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spans="1:3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1:3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spans="1:3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spans="1:3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spans="1:3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spans="1:3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spans="1:3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spans="1:3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spans="1:3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spans="1:3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spans="1:3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spans="1:3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spans="1:3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spans="1:3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spans="1:3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spans="1:3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1:3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spans="1:3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spans="1:3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spans="1:3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spans="1:3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spans="1:3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spans="1:3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spans="1:3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1:3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spans="1:3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spans="1:3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spans="1:3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spans="1:3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1:3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spans="1:3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spans="1:3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spans="1:3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spans="1:3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spans="1:3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spans="1:3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spans="1:3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spans="1:3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spans="1:3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spans="1:3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spans="1:3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spans="1:3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spans="1:3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spans="1:3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spans="1:3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spans="1:3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spans="1:3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spans="1:3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spans="1:3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spans="1:3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spans="1:3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spans="1:3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spans="1:3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spans="1:3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spans="1:3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spans="1:3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spans="1:3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spans="1:3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spans="1:3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spans="1:3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spans="1:3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spans="1:3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spans="1:3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spans="1:3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spans="1:3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spans="1:3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spans="1:3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spans="1: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spans="1:3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spans="1:3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spans="1:3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spans="1:3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spans="1:3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spans="1:3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spans="1:3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spans="1:3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spans="1:3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spans="1:3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spans="1:3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spans="1:3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spans="1:3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spans="1:3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spans="1:3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spans="1:3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spans="1:3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spans="1:3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spans="1:3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spans="1:3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spans="1:3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spans="1:3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spans="1:3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spans="1:3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spans="1:3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spans="1:3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spans="1:3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spans="1:3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spans="1:3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spans="1:3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spans="1:3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spans="1:3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spans="1:3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spans="1:3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spans="1:3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spans="1:3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spans="1:3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spans="1:3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spans="1:3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spans="1:3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spans="1:3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spans="1:3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spans="1:3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spans="1:3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spans="1:3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spans="1:3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spans="1:3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spans="1:3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spans="1:3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spans="1:3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spans="1:3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spans="1:3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spans="1:3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spans="1:3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spans="1:3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spans="1:3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spans="1:3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spans="1:3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spans="1:3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spans="1:3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spans="1:3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spans="1:3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spans="1:3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spans="1:3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spans="1:34">
      <c r="A199" s="3"/>
      <c r="B199" s="3"/>
      <c r="C199" s="3"/>
      <c r="D199" s="3"/>
      <c r="E199" s="3"/>
      <c r="F199" s="3"/>
      <c r="G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spans="1:34">
      <c r="A200" s="3"/>
      <c r="B200" s="3"/>
      <c r="C200" s="3"/>
      <c r="D200" s="3"/>
      <c r="E200" s="3"/>
      <c r="F200" s="3"/>
      <c r="G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00"/>
  <sheetViews>
    <sheetView workbookViewId="0">
      <selection activeCell="C2" sqref="C2"/>
    </sheetView>
  </sheetViews>
  <sheetFormatPr defaultRowHeight="13.8"/>
  <cols>
    <col min="1" max="1" width="13" customWidth="1"/>
    <col min="2" max="2" width="22" customWidth="1"/>
    <col min="3" max="3" width="10" customWidth="1"/>
    <col min="4" max="5" width="17" customWidth="1"/>
    <col min="6" max="6" width="22" customWidth="1"/>
    <col min="7" max="7" width="14" customWidth="1"/>
    <col min="8" max="8" width="20" customWidth="1"/>
    <col min="9" max="9" width="70" customWidth="1"/>
  </cols>
  <sheetData>
    <row r="1" spans="1:33" ht="19.2" customHeight="1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299</v>
      </c>
      <c r="H1" s="1" t="s">
        <v>300</v>
      </c>
      <c r="I1" s="1" t="s">
        <v>40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>
      <c r="A2" s="3" t="s">
        <v>87</v>
      </c>
      <c r="B2" s="3" t="s">
        <v>88</v>
      </c>
      <c r="C2" s="6" t="b">
        <v>0</v>
      </c>
      <c r="D2" s="3">
        <v>0</v>
      </c>
      <c r="E2" s="3">
        <v>0</v>
      </c>
      <c r="F2" s="7">
        <v>0</v>
      </c>
      <c r="G2" s="8">
        <v>4.5</v>
      </c>
      <c r="H2" s="8">
        <v>1.2</v>
      </c>
      <c r="I2" s="3" t="s">
        <v>89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>
      <c r="A3" s="3" t="s">
        <v>90</v>
      </c>
      <c r="B3" s="3" t="s">
        <v>91</v>
      </c>
      <c r="C3" s="6" t="b">
        <v>1</v>
      </c>
      <c r="D3" s="3">
        <v>15</v>
      </c>
      <c r="E3" s="3">
        <v>15</v>
      </c>
      <c r="F3" s="7">
        <v>0.2</v>
      </c>
      <c r="G3" s="8">
        <v>4.5</v>
      </c>
      <c r="H3" s="8">
        <v>1.2</v>
      </c>
      <c r="I3" s="3" t="s">
        <v>92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activeCell="I23" sqref="I23"/>
    </sheetView>
  </sheetViews>
  <sheetFormatPr defaultRowHeight="13.8"/>
  <cols>
    <col min="1" max="1" width="18.59765625" bestFit="1" customWidth="1"/>
    <col min="2" max="2" width="4.3984375" bestFit="1" customWidth="1"/>
    <col min="3" max="3" width="8.19921875" bestFit="1" customWidth="1"/>
    <col min="4" max="4" width="6.19921875" bestFit="1" customWidth="1"/>
    <col min="5" max="5" width="11.69921875" customWidth="1"/>
    <col min="6" max="6" width="7.8984375" customWidth="1"/>
    <col min="7" max="7" width="12.09765625" customWidth="1"/>
    <col min="8" max="8" width="13.3984375" customWidth="1"/>
    <col min="9" max="9" width="12.8984375" customWidth="1"/>
    <col min="10" max="11" width="10.5" bestFit="1" customWidth="1"/>
    <col min="12" max="12" width="10.09765625" bestFit="1" customWidth="1"/>
    <col min="13" max="13" width="9.09765625" bestFit="1" customWidth="1"/>
    <col min="14" max="14" width="10.296875" customWidth="1"/>
    <col min="15" max="16" width="12.296875" customWidth="1"/>
    <col min="17" max="17" width="13" customWidth="1"/>
    <col min="18" max="18" width="9.09765625" customWidth="1"/>
    <col min="19" max="19" width="10.296875" customWidth="1"/>
    <col min="20" max="22" width="14" customWidth="1"/>
    <col min="23" max="26" width="16" customWidth="1"/>
  </cols>
  <sheetData>
    <row r="1" spans="1:26" ht="12" customHeight="1">
      <c r="A1" s="30" t="s">
        <v>308</v>
      </c>
      <c r="B1" s="30" t="s">
        <v>29</v>
      </c>
      <c r="C1" s="30" t="s">
        <v>30</v>
      </c>
      <c r="D1" s="30" t="s">
        <v>31</v>
      </c>
      <c r="E1" s="30" t="s">
        <v>32</v>
      </c>
      <c r="F1" s="30" t="s">
        <v>36</v>
      </c>
      <c r="G1" s="30" t="s">
        <v>33</v>
      </c>
      <c r="H1" s="30" t="s">
        <v>97</v>
      </c>
      <c r="I1" s="30" t="s">
        <v>98</v>
      </c>
      <c r="J1" s="30" t="s">
        <v>295</v>
      </c>
      <c r="K1" s="30" t="s">
        <v>296</v>
      </c>
      <c r="L1" s="30" t="s">
        <v>297</v>
      </c>
      <c r="M1" s="30" t="s">
        <v>298</v>
      </c>
      <c r="N1" s="30" t="s">
        <v>37</v>
      </c>
      <c r="O1" s="30" t="s">
        <v>38</v>
      </c>
      <c r="P1" s="30" t="s">
        <v>39</v>
      </c>
      <c r="Q1" s="30" t="s">
        <v>93</v>
      </c>
      <c r="R1" s="30" t="s">
        <v>94</v>
      </c>
      <c r="S1" s="30" t="s">
        <v>95</v>
      </c>
      <c r="T1" s="11"/>
      <c r="U1" s="11"/>
      <c r="V1" s="11"/>
      <c r="W1" s="11"/>
      <c r="X1" s="11"/>
      <c r="Y1" s="11"/>
      <c r="Z1" s="11"/>
    </row>
    <row r="2" spans="1:26" ht="12" customHeight="1">
      <c r="A2" s="86" t="str" cm="1">
        <f t="array" ref="A2:S4">_xlfn.LET(
_xlpm.src,Pipeline_Source!$A$2:$V$65,
_xlpm.hdr,Pipeline_Source!$A$1:$V$1,
_xlpm.keep,_xlfn._xlws.FILTER(Priority_Orders!$B$2:$B$3,Priority_Orders!$B$2:$B$3&lt;&gt;""),
_xlpm.cols,{"Container ID","SKU","Qty","Market","DC","Load Type","Departure Date","Base LT","Base ETA","SS1 Start","SS1 End","SS2 Start","SS2 End","Product CBM","Load Used CBM","Load Slack CBM"},
_xlpm.selected,_xlfn.CHOOSECOLS(_xlpm.src,_xlfn.XMATCH(_xlpm.cols,_xlpm.hdr)),
_xlpm.loadCol,_xlfn.CHOOSECOLS(_xlpm.src,_xlfn.XMATCH("Container ID",_xlpm.hdr)),
_xlpm.blank,_xlfn.HSTACK("No tracked load found","","","","","","","","","","","","","","",""),
_xlpm.core,_xlfn._xlws.FILTER(_xlpm.selected,ISNUMBER(MATCH(_xlpm.loadCol,_xlpm.keep,0)),_xlpm.blank),
_xlpm.containerCol,_xlfn.CHOOSECOLS(_xlpm.core,1),
_xlpm.orderID,_xlfn.XLOOKUP(_xlpm.containerCol,Priority_Orders!$B$2:$B$3,Priority_Orders!$A$2:$A$3,""),
_xlpm.priorityQty,_xlfn.XLOOKUP(_xlpm.containerCol,Priority_Orders!$B$2:$B$3,Priority_Orders!$D$2:$D$3,""),
_xlpm.priorityLevel,_xlfn.XLOOKUP(_xlpm.containerCol,Priority_Orders!$B$2:$B$3,Priority_Orders!$G$2:$G$3,""),
_xlfn.HSTACK(_xlpm.core,_xlpm.orderID,_xlpm.priorityQty,_xlpm.priorityLevel)
)</f>
        <v>US-20260511-40_1</v>
      </c>
      <c r="B2" s="20" t="str">
        <v>A</v>
      </c>
      <c r="C2" s="27">
        <v>15000</v>
      </c>
      <c r="D2" s="20" t="str">
        <v>US</v>
      </c>
      <c r="E2" s="20" t="str">
        <v>DC-US-E</v>
      </c>
      <c r="F2" s="28" t="str">
        <v>40</v>
      </c>
      <c r="G2" s="29">
        <v>46153</v>
      </c>
      <c r="H2" s="29">
        <v>50</v>
      </c>
      <c r="I2" s="29">
        <v>46203</v>
      </c>
      <c r="J2" s="29">
        <v>46235</v>
      </c>
      <c r="K2" s="29">
        <v>46265</v>
      </c>
      <c r="L2" s="29">
        <v>46296</v>
      </c>
      <c r="M2" s="29">
        <v>46387</v>
      </c>
      <c r="N2" s="27">
        <v>37.5</v>
      </c>
      <c r="O2" s="27">
        <v>40.429687999999999</v>
      </c>
      <c r="P2" s="27">
        <v>24.570312000000001</v>
      </c>
      <c r="Q2" s="20" t="str">
        <v>PO-US-A-001</v>
      </c>
      <c r="R2" s="20">
        <v>20000</v>
      </c>
      <c r="S2" s="20" t="str">
        <v>High</v>
      </c>
      <c r="T2" s="14"/>
      <c r="U2" s="14"/>
      <c r="V2" s="14"/>
      <c r="W2" s="12"/>
      <c r="X2" s="14"/>
      <c r="Y2" s="12"/>
      <c r="Z2" s="12"/>
    </row>
    <row r="3" spans="1:26" ht="12" customHeight="1">
      <c r="A3" s="20" t="str">
        <v>US-20260511-40_1</v>
      </c>
      <c r="B3" s="20" t="str">
        <v>F</v>
      </c>
      <c r="C3" s="27">
        <v>3000</v>
      </c>
      <c r="D3" s="20" t="str">
        <v>US</v>
      </c>
      <c r="E3" s="20" t="str">
        <v>DC-US-E</v>
      </c>
      <c r="F3" s="28" t="str">
        <v>40</v>
      </c>
      <c r="G3" s="29">
        <v>46153</v>
      </c>
      <c r="H3" s="29">
        <v>50</v>
      </c>
      <c r="I3" s="29">
        <v>46203</v>
      </c>
      <c r="J3" s="29">
        <v>46235</v>
      </c>
      <c r="K3" s="29">
        <v>46265</v>
      </c>
      <c r="L3" s="29">
        <v>46296</v>
      </c>
      <c r="M3" s="29">
        <v>46387</v>
      </c>
      <c r="N3" s="27">
        <v>2.9296880000000001</v>
      </c>
      <c r="O3" s="27">
        <v>40.429687999999999</v>
      </c>
      <c r="P3" s="27">
        <v>24.570312000000001</v>
      </c>
      <c r="Q3" s="20" t="str">
        <v>PO-US-A-001</v>
      </c>
      <c r="R3" s="20">
        <v>20000</v>
      </c>
      <c r="S3" s="20" t="str">
        <v>High</v>
      </c>
      <c r="T3" s="14"/>
      <c r="U3" s="14"/>
      <c r="V3" s="14"/>
      <c r="W3" s="12"/>
      <c r="X3" s="14"/>
      <c r="Y3" s="12"/>
      <c r="Z3" s="12"/>
    </row>
    <row r="4" spans="1:26" ht="12" customHeight="1">
      <c r="A4" s="20" t="str">
        <v>UK-20260608-40_1</v>
      </c>
      <c r="B4" s="20" t="str">
        <v>A</v>
      </c>
      <c r="C4" s="27">
        <v>13776</v>
      </c>
      <c r="D4" s="20" t="str">
        <v>UK</v>
      </c>
      <c r="E4" s="20" t="str">
        <v>DC-UK</v>
      </c>
      <c r="F4" s="28" t="str">
        <v>40</v>
      </c>
      <c r="G4" s="29">
        <v>46181</v>
      </c>
      <c r="H4" s="29">
        <v>40</v>
      </c>
      <c r="I4" s="29">
        <v>46221</v>
      </c>
      <c r="J4" s="29">
        <v>46082</v>
      </c>
      <c r="K4" s="29">
        <v>46142</v>
      </c>
      <c r="L4" s="29">
        <v>46327</v>
      </c>
      <c r="M4" s="29">
        <v>46387</v>
      </c>
      <c r="N4" s="27">
        <v>34.44</v>
      </c>
      <c r="O4" s="27">
        <v>39.288437999999999</v>
      </c>
      <c r="P4" s="27">
        <v>0</v>
      </c>
      <c r="Q4" s="20" t="str">
        <v>PO-UK-A-001</v>
      </c>
      <c r="R4" s="20">
        <v>13773</v>
      </c>
      <c r="S4" s="20" t="str">
        <v>High</v>
      </c>
      <c r="T4" s="14"/>
      <c r="U4" s="14"/>
      <c r="V4" s="14"/>
      <c r="W4" s="12"/>
      <c r="X4" s="14"/>
      <c r="Y4" s="12"/>
      <c r="Z4" s="12"/>
    </row>
    <row r="5" spans="1:26" ht="12" customHeight="1">
      <c r="A5" s="20"/>
      <c r="B5" s="20"/>
      <c r="C5" s="27"/>
      <c r="D5" s="20"/>
      <c r="E5" s="20"/>
      <c r="F5" s="28"/>
      <c r="G5" s="20"/>
      <c r="H5" s="28"/>
      <c r="I5" s="28"/>
      <c r="J5" s="28"/>
      <c r="K5" s="28"/>
      <c r="L5" s="28"/>
      <c r="M5" s="27"/>
      <c r="N5" s="27"/>
      <c r="O5" s="27"/>
      <c r="P5" s="27"/>
      <c r="Q5" s="20"/>
      <c r="R5" s="20"/>
      <c r="S5" s="20"/>
      <c r="T5" s="14"/>
      <c r="U5" s="14"/>
      <c r="V5" s="14"/>
      <c r="W5" s="12"/>
      <c r="X5" s="14"/>
      <c r="Y5" s="12"/>
      <c r="Z5" s="12"/>
    </row>
    <row r="6" spans="1:26" ht="12" customHeight="1">
      <c r="A6" s="20"/>
      <c r="B6" s="20"/>
      <c r="C6" s="27"/>
      <c r="D6" s="20"/>
      <c r="E6" s="20"/>
      <c r="F6" s="28"/>
      <c r="G6" s="20"/>
      <c r="H6" s="28"/>
      <c r="I6" s="28"/>
      <c r="J6" s="28"/>
      <c r="K6" s="28"/>
      <c r="L6" s="28"/>
      <c r="M6" s="27"/>
      <c r="N6" s="27"/>
      <c r="O6" s="27"/>
      <c r="P6" s="27"/>
      <c r="Q6" s="20"/>
      <c r="R6" s="20"/>
      <c r="S6" s="20"/>
      <c r="T6" s="14"/>
      <c r="U6" s="14"/>
      <c r="V6" s="14"/>
      <c r="W6" s="12"/>
      <c r="X6" s="14"/>
      <c r="Y6" s="12"/>
      <c r="Z6" s="12"/>
    </row>
    <row r="7" spans="1:26" ht="12" customHeight="1">
      <c r="A7" s="20"/>
      <c r="B7" s="20"/>
      <c r="C7" s="27"/>
      <c r="D7" s="20"/>
      <c r="E7" s="20"/>
      <c r="F7" s="28"/>
      <c r="G7" s="20"/>
      <c r="H7" s="28"/>
      <c r="I7" s="28"/>
      <c r="J7" s="28"/>
      <c r="K7" s="28"/>
      <c r="L7" s="28"/>
      <c r="M7" s="27"/>
      <c r="N7" s="27"/>
      <c r="O7" s="27"/>
      <c r="P7" s="27"/>
      <c r="Q7" s="20"/>
      <c r="R7" s="20"/>
      <c r="S7" s="20"/>
      <c r="T7" s="14"/>
      <c r="U7" s="14"/>
      <c r="V7" s="14"/>
      <c r="W7" s="12"/>
      <c r="X7" s="14"/>
      <c r="Y7" s="12"/>
      <c r="Z7" s="12"/>
    </row>
    <row r="8" spans="1:26" ht="12" customHeight="1">
      <c r="A8" s="20"/>
      <c r="B8" s="20"/>
      <c r="C8" s="27"/>
      <c r="D8" s="20"/>
      <c r="E8" s="20"/>
      <c r="F8" s="28"/>
      <c r="G8" s="20"/>
      <c r="H8" s="28"/>
      <c r="I8" s="28"/>
      <c r="J8" s="28"/>
      <c r="K8" s="28"/>
      <c r="L8" s="28"/>
      <c r="M8" s="27"/>
      <c r="N8" s="27"/>
      <c r="O8" s="27"/>
      <c r="P8" s="27"/>
      <c r="Q8" s="20"/>
      <c r="R8" s="20"/>
      <c r="S8" s="20"/>
      <c r="T8" s="14"/>
      <c r="U8" s="14"/>
      <c r="V8" s="14"/>
      <c r="W8" s="12"/>
      <c r="X8" s="14"/>
      <c r="Y8" s="12"/>
      <c r="Z8" s="12"/>
    </row>
    <row r="9" spans="1:26" ht="12" customHeight="1">
      <c r="A9" s="20"/>
      <c r="B9" s="20"/>
      <c r="C9" s="27"/>
      <c r="D9" s="20"/>
      <c r="E9" s="20"/>
      <c r="F9" s="28"/>
      <c r="G9" s="20"/>
      <c r="H9" s="28"/>
      <c r="I9" s="28"/>
      <c r="J9" s="28"/>
      <c r="K9" s="28"/>
      <c r="L9" s="28"/>
      <c r="M9" s="27"/>
      <c r="N9" s="27"/>
      <c r="O9" s="27"/>
      <c r="P9" s="27"/>
      <c r="Q9" s="20"/>
      <c r="R9" s="20"/>
      <c r="S9" s="20"/>
      <c r="T9" s="14"/>
      <c r="U9" s="14"/>
      <c r="V9" s="14"/>
      <c r="W9" s="12"/>
      <c r="X9" s="14"/>
      <c r="Y9" s="12"/>
      <c r="Z9" s="12"/>
    </row>
    <row r="10" spans="1:26" ht="12" customHeight="1">
      <c r="A10" s="20"/>
      <c r="B10" s="20"/>
      <c r="C10" s="27"/>
      <c r="D10" s="20"/>
      <c r="E10" s="20"/>
      <c r="F10" s="28"/>
      <c r="G10" s="20"/>
      <c r="H10" s="28"/>
      <c r="I10" s="28"/>
      <c r="J10" s="28"/>
      <c r="K10" s="28"/>
      <c r="L10" s="28"/>
      <c r="M10" s="27"/>
      <c r="N10" s="27"/>
      <c r="O10" s="27"/>
      <c r="P10" s="27"/>
      <c r="Q10" s="20"/>
      <c r="R10" s="20"/>
      <c r="S10" s="20"/>
      <c r="T10" s="14"/>
      <c r="U10" s="14"/>
      <c r="V10" s="14"/>
      <c r="W10" s="12"/>
      <c r="X10" s="14"/>
      <c r="Y10" s="12"/>
      <c r="Z10" s="12"/>
    </row>
    <row r="11" spans="1:26" ht="12" customHeight="1">
      <c r="A11" s="20"/>
      <c r="B11" s="20"/>
      <c r="C11" s="27"/>
      <c r="D11" s="20"/>
      <c r="E11" s="20"/>
      <c r="F11" s="28"/>
      <c r="G11" s="20"/>
      <c r="H11" s="28"/>
      <c r="I11" s="28"/>
      <c r="J11" s="28"/>
      <c r="K11" s="28"/>
      <c r="L11" s="28"/>
      <c r="M11" s="27"/>
      <c r="N11" s="27"/>
      <c r="O11" s="27"/>
      <c r="P11" s="27"/>
      <c r="Q11" s="20"/>
      <c r="R11" s="20"/>
      <c r="S11" s="20"/>
      <c r="T11" s="14"/>
      <c r="U11" s="14"/>
      <c r="V11" s="14"/>
      <c r="W11" s="12"/>
      <c r="X11" s="14"/>
      <c r="Y11" s="12"/>
      <c r="Z11" s="12"/>
    </row>
    <row r="12" spans="1:26" ht="12" customHeight="1">
      <c r="A12" s="20"/>
      <c r="B12" s="20"/>
      <c r="C12" s="27"/>
      <c r="D12" s="20"/>
      <c r="E12" s="20"/>
      <c r="F12" s="28"/>
      <c r="G12" s="20"/>
      <c r="H12" s="28"/>
      <c r="I12" s="28"/>
      <c r="J12" s="28"/>
      <c r="K12" s="28"/>
      <c r="L12" s="28"/>
      <c r="M12" s="27"/>
      <c r="N12" s="27"/>
      <c r="O12" s="27"/>
      <c r="P12" s="27"/>
      <c r="Q12" s="20"/>
      <c r="R12" s="20"/>
      <c r="S12" s="20"/>
      <c r="T12" s="14"/>
      <c r="U12" s="14"/>
      <c r="V12" s="14"/>
      <c r="W12" s="12"/>
      <c r="X12" s="14"/>
      <c r="Y12" s="12"/>
      <c r="Z12" s="12"/>
    </row>
    <row r="13" spans="1:26" ht="12" customHeight="1">
      <c r="A13" s="20"/>
      <c r="B13" s="20"/>
      <c r="C13" s="27"/>
      <c r="D13" s="20"/>
      <c r="E13" s="20"/>
      <c r="F13" s="28"/>
      <c r="G13" s="20"/>
      <c r="H13" s="28"/>
      <c r="I13" s="28"/>
      <c r="J13" s="28"/>
      <c r="K13" s="28"/>
      <c r="L13" s="28"/>
      <c r="M13" s="27"/>
      <c r="N13" s="27"/>
      <c r="O13" s="27"/>
      <c r="P13" s="27"/>
      <c r="Q13" s="20"/>
      <c r="R13" s="20"/>
      <c r="S13" s="20"/>
      <c r="T13" s="14"/>
      <c r="U13" s="14"/>
      <c r="V13" s="14"/>
      <c r="W13" s="12"/>
      <c r="X13" s="14"/>
      <c r="Y13" s="12"/>
      <c r="Z13" s="12"/>
    </row>
    <row r="14" spans="1:26" ht="12" customHeight="1">
      <c r="A14" s="20"/>
      <c r="B14" s="20"/>
      <c r="C14" s="27"/>
      <c r="D14" s="20"/>
      <c r="E14" s="20"/>
      <c r="F14" s="28"/>
      <c r="G14" s="20"/>
      <c r="H14" s="28"/>
      <c r="I14" s="28"/>
      <c r="J14" s="28"/>
      <c r="K14" s="28"/>
      <c r="L14" s="28"/>
      <c r="M14" s="27"/>
      <c r="N14" s="27"/>
      <c r="O14" s="27"/>
      <c r="P14" s="27"/>
      <c r="Q14" s="20"/>
      <c r="R14" s="20"/>
      <c r="S14" s="20"/>
      <c r="T14" s="14"/>
      <c r="U14" s="14"/>
      <c r="V14" s="14"/>
      <c r="W14" s="12"/>
      <c r="X14" s="14"/>
      <c r="Y14" s="12"/>
      <c r="Z14" s="12"/>
    </row>
    <row r="15" spans="1:26" ht="12" customHeight="1">
      <c r="A15" s="20"/>
      <c r="B15" s="20"/>
      <c r="C15" s="27"/>
      <c r="D15" s="20"/>
      <c r="E15" s="20"/>
      <c r="F15" s="28"/>
      <c r="G15" s="20"/>
      <c r="H15" s="28"/>
      <c r="I15" s="28"/>
      <c r="J15" s="28"/>
      <c r="K15" s="28"/>
      <c r="L15" s="28"/>
      <c r="M15" s="27"/>
      <c r="N15" s="27"/>
      <c r="O15" s="27"/>
      <c r="P15" s="27"/>
      <c r="Q15" s="20"/>
      <c r="R15" s="20"/>
      <c r="S15" s="20"/>
      <c r="T15" s="14"/>
      <c r="U15" s="14"/>
      <c r="V15" s="14"/>
      <c r="W15" s="12"/>
      <c r="X15" s="14"/>
      <c r="Y15" s="12"/>
      <c r="Z15" s="12"/>
    </row>
    <row r="16" spans="1:26" ht="12" customHeight="1">
      <c r="A16" s="20"/>
      <c r="B16" s="20"/>
      <c r="C16" s="27"/>
      <c r="D16" s="20"/>
      <c r="E16" s="20"/>
      <c r="F16" s="28"/>
      <c r="G16" s="20"/>
      <c r="H16" s="28"/>
      <c r="I16" s="28"/>
      <c r="J16" s="28"/>
      <c r="K16" s="28"/>
      <c r="L16" s="28"/>
      <c r="M16" s="27"/>
      <c r="N16" s="27"/>
      <c r="O16" s="27"/>
      <c r="P16" s="27"/>
      <c r="Q16" s="20"/>
      <c r="R16" s="20"/>
      <c r="S16" s="20"/>
      <c r="T16" s="14"/>
      <c r="U16" s="14"/>
      <c r="V16" s="14"/>
      <c r="W16" s="12"/>
      <c r="X16" s="14"/>
      <c r="Y16" s="12"/>
      <c r="Z16" s="12"/>
    </row>
    <row r="17" spans="1:26" ht="12" customHeight="1">
      <c r="A17" s="20"/>
      <c r="B17" s="20"/>
      <c r="C17" s="27"/>
      <c r="D17" s="20"/>
      <c r="E17" s="20"/>
      <c r="F17" s="28"/>
      <c r="G17" s="20"/>
      <c r="H17" s="28"/>
      <c r="I17" s="28"/>
      <c r="J17" s="28"/>
      <c r="K17" s="28"/>
      <c r="L17" s="28"/>
      <c r="M17" s="27"/>
      <c r="N17" s="27"/>
      <c r="O17" s="27"/>
      <c r="P17" s="27"/>
      <c r="Q17" s="20"/>
      <c r="R17" s="20"/>
      <c r="S17" s="20"/>
      <c r="T17" s="14"/>
      <c r="U17" s="14"/>
      <c r="V17" s="14"/>
      <c r="W17" s="12"/>
      <c r="X17" s="14"/>
      <c r="Y17" s="12"/>
      <c r="Z17" s="12"/>
    </row>
    <row r="18" spans="1:26" ht="12" customHeight="1">
      <c r="A18" s="20"/>
      <c r="B18" s="20"/>
      <c r="C18" s="27"/>
      <c r="D18" s="20"/>
      <c r="E18" s="20"/>
      <c r="F18" s="28"/>
      <c r="G18" s="20"/>
      <c r="H18" s="28"/>
      <c r="I18" s="28"/>
      <c r="J18" s="28"/>
      <c r="K18" s="28"/>
      <c r="L18" s="28"/>
      <c r="M18" s="27"/>
      <c r="N18" s="27"/>
      <c r="O18" s="27"/>
      <c r="P18" s="27"/>
      <c r="Q18" s="20"/>
      <c r="R18" s="20"/>
      <c r="S18" s="20"/>
      <c r="T18" s="14"/>
      <c r="U18" s="14"/>
      <c r="V18" s="14"/>
      <c r="W18" s="12"/>
      <c r="X18" s="14"/>
      <c r="Y18" s="12"/>
      <c r="Z18" s="12"/>
    </row>
    <row r="19" spans="1:26" ht="12" customHeight="1">
      <c r="A19" s="20"/>
      <c r="B19" s="20"/>
      <c r="C19" s="27"/>
      <c r="D19" s="20"/>
      <c r="E19" s="20"/>
      <c r="F19" s="28"/>
      <c r="G19" s="20"/>
      <c r="H19" s="28"/>
      <c r="I19" s="28"/>
      <c r="J19" s="28"/>
      <c r="K19" s="28"/>
      <c r="L19" s="28"/>
      <c r="M19" s="27"/>
      <c r="N19" s="27"/>
      <c r="O19" s="27"/>
      <c r="P19" s="27"/>
      <c r="Q19" s="20"/>
      <c r="R19" s="20"/>
      <c r="S19" s="20"/>
      <c r="T19" s="14"/>
      <c r="U19" s="14"/>
      <c r="V19" s="14"/>
      <c r="W19" s="12"/>
      <c r="X19" s="14"/>
      <c r="Y19" s="12"/>
      <c r="Z19" s="12"/>
    </row>
    <row r="20" spans="1:26" ht="12" customHeight="1">
      <c r="A20" s="20"/>
      <c r="B20" s="20"/>
      <c r="C20" s="27"/>
      <c r="D20" s="20"/>
      <c r="E20" s="20"/>
      <c r="F20" s="28"/>
      <c r="G20" s="20"/>
      <c r="H20" s="28"/>
      <c r="I20" s="28"/>
      <c r="J20" s="28"/>
      <c r="K20" s="28"/>
      <c r="L20" s="28"/>
      <c r="M20" s="27"/>
      <c r="N20" s="27"/>
      <c r="O20" s="27"/>
      <c r="P20" s="27"/>
      <c r="Q20" s="20"/>
      <c r="R20" s="20"/>
      <c r="S20" s="20"/>
      <c r="T20" s="14"/>
      <c r="U20" s="14"/>
      <c r="V20" s="14"/>
      <c r="W20" s="12"/>
      <c r="X20" s="14"/>
      <c r="Y20" s="12"/>
      <c r="Z20" s="12"/>
    </row>
    <row r="21" spans="1:26" ht="12" customHeight="1">
      <c r="A21" s="12"/>
      <c r="B21" s="12"/>
      <c r="C21" s="14"/>
      <c r="D21" s="12"/>
      <c r="E21" s="12"/>
      <c r="F21" s="13"/>
      <c r="G21" s="12"/>
      <c r="H21" s="13"/>
      <c r="I21" s="13"/>
      <c r="J21" s="13"/>
      <c r="K21" s="13"/>
      <c r="L21" s="13"/>
      <c r="M21" s="14"/>
      <c r="N21" s="14"/>
      <c r="O21" s="14"/>
      <c r="P21" s="14"/>
      <c r="Q21" s="12"/>
      <c r="R21" s="12"/>
      <c r="S21" s="12"/>
      <c r="T21" s="14"/>
      <c r="U21" s="14"/>
      <c r="V21" s="14"/>
      <c r="W21" s="12"/>
      <c r="X21" s="14"/>
      <c r="Y21" s="12"/>
      <c r="Z21" s="12"/>
    </row>
    <row r="22" spans="1:26" ht="12" customHeight="1">
      <c r="A22" s="12"/>
      <c r="B22" s="12"/>
      <c r="C22" s="14"/>
      <c r="D22" s="12"/>
      <c r="E22" s="12"/>
      <c r="F22" s="13"/>
      <c r="G22" s="12"/>
      <c r="H22" s="13"/>
      <c r="I22" s="13"/>
      <c r="J22" s="13"/>
      <c r="K22" s="13"/>
      <c r="L22" s="13"/>
      <c r="M22" s="14"/>
      <c r="N22" s="14"/>
      <c r="O22" s="14"/>
      <c r="P22" s="14"/>
      <c r="Q22" s="12"/>
      <c r="R22" s="12"/>
      <c r="S22" s="12"/>
      <c r="T22" s="14"/>
      <c r="U22" s="14"/>
      <c r="V22" s="14"/>
      <c r="W22" s="12"/>
      <c r="X22" s="14"/>
      <c r="Y22" s="12"/>
      <c r="Z22" s="12"/>
    </row>
    <row r="23" spans="1:26" ht="12" customHeight="1">
      <c r="A23" s="12"/>
      <c r="B23" s="12"/>
      <c r="C23" s="14"/>
      <c r="D23" s="12"/>
      <c r="E23" s="12"/>
      <c r="F23" s="13"/>
      <c r="G23" s="12"/>
      <c r="H23" s="13"/>
      <c r="I23" s="13"/>
      <c r="J23" s="13"/>
      <c r="K23" s="13"/>
      <c r="L23" s="13"/>
      <c r="M23" s="14"/>
      <c r="N23" s="14"/>
      <c r="O23" s="14"/>
      <c r="P23" s="14"/>
      <c r="Q23" s="12"/>
      <c r="R23" s="12"/>
      <c r="S23" s="12"/>
      <c r="T23" s="14"/>
      <c r="U23" s="14"/>
      <c r="V23" s="14"/>
      <c r="W23" s="12"/>
      <c r="X23" s="14"/>
      <c r="Y23" s="12"/>
      <c r="Z23" s="12"/>
    </row>
    <row r="24" spans="1:26" ht="12" customHeight="1">
      <c r="A24" s="12"/>
      <c r="B24" s="12"/>
      <c r="C24" s="14"/>
      <c r="D24" s="12"/>
      <c r="E24" s="12"/>
      <c r="F24" s="13"/>
      <c r="G24" s="12"/>
      <c r="H24" s="13"/>
      <c r="I24" s="13"/>
      <c r="J24" s="13"/>
      <c r="K24" s="13"/>
      <c r="L24" s="13"/>
      <c r="M24" s="14"/>
      <c r="N24" s="14"/>
      <c r="O24" s="14"/>
      <c r="P24" s="14"/>
      <c r="Q24" s="12"/>
      <c r="R24" s="12"/>
      <c r="S24" s="12"/>
      <c r="T24" s="14"/>
      <c r="U24" s="14"/>
      <c r="V24" s="14"/>
      <c r="W24" s="12"/>
      <c r="X24" s="14"/>
      <c r="Y24" s="12"/>
      <c r="Z24" s="12"/>
    </row>
    <row r="25" spans="1:26" ht="12" customHeight="1">
      <c r="A25" s="12"/>
      <c r="B25" s="12"/>
      <c r="C25" s="14"/>
      <c r="D25" s="12"/>
      <c r="E25" s="12"/>
      <c r="F25" s="13"/>
      <c r="G25" s="12"/>
      <c r="H25" s="13"/>
      <c r="I25" s="13"/>
      <c r="J25" s="13"/>
      <c r="K25" s="13"/>
      <c r="L25" s="13"/>
      <c r="M25" s="14"/>
      <c r="N25" s="14"/>
      <c r="O25" s="14"/>
      <c r="P25" s="14"/>
      <c r="Q25" s="12"/>
      <c r="R25" s="12"/>
      <c r="S25" s="12"/>
      <c r="T25" s="14"/>
      <c r="U25" s="14"/>
      <c r="V25" s="14"/>
      <c r="W25" s="12"/>
      <c r="X25" s="14"/>
      <c r="Y25" s="12"/>
      <c r="Z25" s="12"/>
    </row>
    <row r="26" spans="1:26" ht="12" customHeight="1">
      <c r="A26" s="12"/>
      <c r="B26" s="12"/>
      <c r="C26" s="14"/>
      <c r="D26" s="12"/>
      <c r="E26" s="12"/>
      <c r="F26" s="13"/>
      <c r="G26" s="12"/>
      <c r="H26" s="13"/>
      <c r="I26" s="13"/>
      <c r="J26" s="13"/>
      <c r="K26" s="13"/>
      <c r="L26" s="13"/>
      <c r="M26" s="14"/>
      <c r="N26" s="14"/>
      <c r="O26" s="14"/>
      <c r="P26" s="14"/>
      <c r="Q26" s="12"/>
      <c r="R26" s="12"/>
      <c r="S26" s="12"/>
      <c r="T26" s="14"/>
      <c r="U26" s="14"/>
      <c r="V26" s="14"/>
      <c r="W26" s="12"/>
      <c r="X26" s="14"/>
      <c r="Y26" s="12"/>
      <c r="Z26" s="12"/>
    </row>
    <row r="27" spans="1:26" ht="12" customHeight="1">
      <c r="A27" s="12"/>
      <c r="B27" s="12"/>
      <c r="C27" s="14"/>
      <c r="D27" s="12"/>
      <c r="E27" s="12"/>
      <c r="F27" s="13"/>
      <c r="G27" s="12"/>
      <c r="H27" s="13"/>
      <c r="I27" s="13"/>
      <c r="J27" s="13"/>
      <c r="K27" s="13"/>
      <c r="L27" s="13"/>
      <c r="M27" s="14"/>
      <c r="N27" s="14"/>
      <c r="O27" s="14"/>
      <c r="P27" s="14"/>
      <c r="Q27" s="12"/>
      <c r="R27" s="12"/>
      <c r="S27" s="12"/>
      <c r="T27" s="14"/>
      <c r="U27" s="14"/>
      <c r="V27" s="14"/>
      <c r="W27" s="12"/>
      <c r="X27" s="14"/>
      <c r="Y27" s="12"/>
      <c r="Z27" s="12"/>
    </row>
    <row r="28" spans="1:26" ht="12" customHeight="1">
      <c r="A28" s="12"/>
      <c r="B28" s="12"/>
      <c r="C28" s="14"/>
      <c r="D28" s="12"/>
      <c r="E28" s="12"/>
      <c r="F28" s="13"/>
      <c r="G28" s="12"/>
      <c r="H28" s="13"/>
      <c r="I28" s="13"/>
      <c r="J28" s="13"/>
      <c r="K28" s="13"/>
      <c r="L28" s="13"/>
      <c r="M28" s="14"/>
      <c r="N28" s="14"/>
      <c r="O28" s="14"/>
      <c r="P28" s="14"/>
      <c r="Q28" s="12"/>
      <c r="R28" s="12"/>
      <c r="S28" s="12"/>
      <c r="T28" s="14"/>
      <c r="U28" s="14"/>
      <c r="V28" s="14"/>
      <c r="W28" s="12"/>
      <c r="X28" s="14"/>
      <c r="Y28" s="12"/>
      <c r="Z28" s="12"/>
    </row>
    <row r="29" spans="1:26" ht="12" customHeight="1">
      <c r="A29" s="12"/>
      <c r="B29" s="12"/>
      <c r="C29" s="14"/>
      <c r="D29" s="12"/>
      <c r="E29" s="12"/>
      <c r="F29" s="13"/>
      <c r="G29" s="12"/>
      <c r="H29" s="13"/>
      <c r="I29" s="13"/>
      <c r="J29" s="13"/>
      <c r="K29" s="13"/>
      <c r="L29" s="13"/>
      <c r="M29" s="14"/>
      <c r="N29" s="14"/>
      <c r="O29" s="14"/>
      <c r="P29" s="14"/>
      <c r="Q29" s="12"/>
      <c r="R29" s="12"/>
      <c r="S29" s="12"/>
      <c r="T29" s="14"/>
      <c r="U29" s="14"/>
      <c r="V29" s="14"/>
      <c r="W29" s="12"/>
      <c r="X29" s="14"/>
      <c r="Y29" s="12"/>
      <c r="Z29" s="12"/>
    </row>
    <row r="30" spans="1:26" ht="12" customHeight="1">
      <c r="A30" s="12"/>
      <c r="B30" s="12"/>
      <c r="C30" s="14"/>
      <c r="D30" s="12"/>
      <c r="E30" s="12"/>
      <c r="F30" s="13"/>
      <c r="G30" s="12"/>
      <c r="H30" s="13"/>
      <c r="I30" s="13"/>
      <c r="J30" s="13"/>
      <c r="K30" s="13"/>
      <c r="L30" s="13"/>
      <c r="M30" s="14"/>
      <c r="N30" s="14"/>
      <c r="O30" s="14"/>
      <c r="P30" s="14"/>
      <c r="Q30" s="12"/>
      <c r="R30" s="12"/>
      <c r="S30" s="12"/>
      <c r="T30" s="14"/>
      <c r="U30" s="14"/>
      <c r="V30" s="14"/>
      <c r="W30" s="12"/>
      <c r="X30" s="14"/>
      <c r="Y30" s="12"/>
      <c r="Z30" s="12"/>
    </row>
    <row r="31" spans="1:26" ht="12" customHeight="1">
      <c r="A31" s="12"/>
      <c r="B31" s="12"/>
      <c r="C31" s="14"/>
      <c r="D31" s="12"/>
      <c r="E31" s="12"/>
      <c r="F31" s="13"/>
      <c r="G31" s="12"/>
      <c r="H31" s="13"/>
      <c r="I31" s="13"/>
      <c r="J31" s="13"/>
      <c r="K31" s="13"/>
      <c r="L31" s="13"/>
      <c r="M31" s="14"/>
      <c r="N31" s="14"/>
      <c r="O31" s="14"/>
      <c r="P31" s="14"/>
      <c r="Q31" s="12"/>
      <c r="R31" s="12"/>
      <c r="S31" s="12"/>
      <c r="T31" s="14"/>
      <c r="U31" s="14"/>
      <c r="V31" s="14"/>
      <c r="W31" s="12"/>
      <c r="X31" s="14"/>
      <c r="Y31" s="12"/>
      <c r="Z31" s="12"/>
    </row>
    <row r="32" spans="1:26" ht="12" customHeight="1">
      <c r="A32" s="12"/>
      <c r="B32" s="12"/>
      <c r="C32" s="14"/>
      <c r="D32" s="12"/>
      <c r="E32" s="12"/>
      <c r="F32" s="13"/>
      <c r="G32" s="12"/>
      <c r="H32" s="13"/>
      <c r="I32" s="13"/>
      <c r="J32" s="13"/>
      <c r="K32" s="13"/>
      <c r="L32" s="13"/>
      <c r="M32" s="14"/>
      <c r="N32" s="14"/>
      <c r="O32" s="14"/>
      <c r="P32" s="14"/>
      <c r="Q32" s="12"/>
      <c r="R32" s="12"/>
      <c r="S32" s="12"/>
      <c r="T32" s="14"/>
      <c r="U32" s="14"/>
      <c r="V32" s="14"/>
      <c r="W32" s="12"/>
      <c r="X32" s="14"/>
      <c r="Y32" s="12"/>
      <c r="Z32" s="12"/>
    </row>
    <row r="33" spans="1:26" ht="12" customHeight="1">
      <c r="A33" s="12"/>
      <c r="B33" s="12"/>
      <c r="C33" s="14"/>
      <c r="D33" s="12"/>
      <c r="E33" s="12"/>
      <c r="F33" s="13"/>
      <c r="G33" s="12"/>
      <c r="H33" s="13"/>
      <c r="I33" s="13"/>
      <c r="J33" s="13"/>
      <c r="K33" s="13"/>
      <c r="L33" s="13"/>
      <c r="M33" s="14"/>
      <c r="N33" s="14"/>
      <c r="O33" s="14"/>
      <c r="P33" s="14"/>
      <c r="Q33" s="12"/>
      <c r="R33" s="12"/>
      <c r="S33" s="12"/>
      <c r="T33" s="14"/>
      <c r="U33" s="14"/>
      <c r="V33" s="14"/>
      <c r="W33" s="12"/>
      <c r="X33" s="14"/>
      <c r="Y33" s="12"/>
      <c r="Z33" s="12"/>
    </row>
    <row r="34" spans="1:26" ht="12" customHeight="1">
      <c r="A34" s="12"/>
      <c r="B34" s="12"/>
      <c r="C34" s="14"/>
      <c r="D34" s="12"/>
      <c r="E34" s="12"/>
      <c r="F34" s="13"/>
      <c r="G34" s="12"/>
      <c r="H34" s="13"/>
      <c r="I34" s="13"/>
      <c r="J34" s="13"/>
      <c r="K34" s="13"/>
      <c r="L34" s="13"/>
      <c r="M34" s="14"/>
      <c r="N34" s="14"/>
      <c r="O34" s="14"/>
      <c r="P34" s="14"/>
      <c r="Q34" s="12"/>
      <c r="R34" s="12"/>
      <c r="S34" s="12"/>
      <c r="T34" s="14"/>
      <c r="U34" s="14"/>
      <c r="V34" s="14"/>
      <c r="W34" s="12"/>
      <c r="X34" s="14"/>
      <c r="Y34" s="12"/>
      <c r="Z34" s="12"/>
    </row>
    <row r="35" spans="1:26" ht="12" customHeight="1">
      <c r="A35" s="12"/>
      <c r="B35" s="12"/>
      <c r="C35" s="14"/>
      <c r="D35" s="12"/>
      <c r="E35" s="12"/>
      <c r="F35" s="13"/>
      <c r="G35" s="12"/>
      <c r="H35" s="13"/>
      <c r="I35" s="13"/>
      <c r="J35" s="13"/>
      <c r="K35" s="13"/>
      <c r="L35" s="13"/>
      <c r="M35" s="14"/>
      <c r="N35" s="14"/>
      <c r="O35" s="14"/>
      <c r="P35" s="14"/>
      <c r="Q35" s="12"/>
      <c r="R35" s="12"/>
      <c r="S35" s="12"/>
      <c r="T35" s="14"/>
      <c r="U35" s="14"/>
      <c r="V35" s="14"/>
      <c r="W35" s="12"/>
      <c r="X35" s="14"/>
      <c r="Y35" s="12"/>
      <c r="Z35" s="12"/>
    </row>
    <row r="36" spans="1:26" ht="12" customHeight="1">
      <c r="A36" s="12"/>
      <c r="B36" s="12"/>
      <c r="C36" s="14"/>
      <c r="D36" s="12"/>
      <c r="E36" s="12"/>
      <c r="F36" s="13"/>
      <c r="G36" s="12"/>
      <c r="H36" s="13"/>
      <c r="I36" s="13"/>
      <c r="J36" s="13"/>
      <c r="K36" s="13"/>
      <c r="L36" s="13"/>
      <c r="M36" s="14"/>
      <c r="N36" s="14"/>
      <c r="O36" s="14"/>
      <c r="P36" s="14"/>
      <c r="Q36" s="12"/>
      <c r="R36" s="12"/>
      <c r="S36" s="12"/>
      <c r="T36" s="14"/>
      <c r="U36" s="14"/>
      <c r="V36" s="14"/>
      <c r="W36" s="12"/>
      <c r="X36" s="14"/>
      <c r="Y36" s="12"/>
      <c r="Z36" s="12"/>
    </row>
    <row r="37" spans="1:26" ht="12" customHeight="1">
      <c r="A37" s="12"/>
      <c r="B37" s="12"/>
      <c r="C37" s="14"/>
      <c r="D37" s="12"/>
      <c r="E37" s="12"/>
      <c r="F37" s="13"/>
      <c r="G37" s="12"/>
      <c r="H37" s="13"/>
      <c r="I37" s="13"/>
      <c r="J37" s="13"/>
      <c r="K37" s="13"/>
      <c r="L37" s="13"/>
      <c r="M37" s="14"/>
      <c r="N37" s="14"/>
      <c r="O37" s="14"/>
      <c r="P37" s="14"/>
      <c r="Q37" s="12"/>
      <c r="R37" s="12"/>
      <c r="S37" s="12"/>
      <c r="T37" s="14"/>
      <c r="U37" s="14"/>
      <c r="V37" s="14"/>
      <c r="W37" s="12"/>
      <c r="X37" s="14"/>
      <c r="Y37" s="12"/>
      <c r="Z37" s="12"/>
    </row>
    <row r="38" spans="1:26" ht="12" customHeight="1">
      <c r="A38" s="12"/>
      <c r="B38" s="12"/>
      <c r="C38" s="14"/>
      <c r="D38" s="12"/>
      <c r="E38" s="12"/>
      <c r="F38" s="13"/>
      <c r="G38" s="12"/>
      <c r="H38" s="13"/>
      <c r="I38" s="13"/>
      <c r="J38" s="13"/>
      <c r="K38" s="13"/>
      <c r="L38" s="13"/>
      <c r="M38" s="14"/>
      <c r="N38" s="14"/>
      <c r="O38" s="14"/>
      <c r="P38" s="14"/>
      <c r="Q38" s="12"/>
      <c r="R38" s="12"/>
      <c r="S38" s="12"/>
      <c r="T38" s="14"/>
      <c r="U38" s="14"/>
      <c r="V38" s="14"/>
      <c r="W38" s="12"/>
      <c r="X38" s="14"/>
      <c r="Y38" s="12"/>
      <c r="Z38" s="12"/>
    </row>
    <row r="39" spans="1:26" ht="12" customHeight="1">
      <c r="A39" s="12"/>
      <c r="B39" s="12"/>
      <c r="C39" s="14"/>
      <c r="D39" s="12"/>
      <c r="E39" s="12"/>
      <c r="F39" s="13"/>
      <c r="G39" s="12"/>
      <c r="H39" s="13"/>
      <c r="I39" s="13"/>
      <c r="J39" s="13"/>
      <c r="K39" s="13"/>
      <c r="L39" s="13"/>
      <c r="M39" s="14"/>
      <c r="N39" s="14"/>
      <c r="O39" s="14"/>
      <c r="P39" s="14"/>
      <c r="Q39" s="12"/>
      <c r="R39" s="12"/>
      <c r="S39" s="12"/>
      <c r="T39" s="14"/>
      <c r="U39" s="14"/>
      <c r="V39" s="14"/>
      <c r="W39" s="12"/>
      <c r="X39" s="14"/>
      <c r="Y39" s="12"/>
      <c r="Z39" s="12"/>
    </row>
    <row r="40" spans="1:26" ht="12" customHeight="1">
      <c r="A40" s="12"/>
      <c r="B40" s="12"/>
      <c r="C40" s="14"/>
      <c r="D40" s="12"/>
      <c r="E40" s="12"/>
      <c r="F40" s="13"/>
      <c r="G40" s="12"/>
      <c r="H40" s="13"/>
      <c r="I40" s="13"/>
      <c r="J40" s="13"/>
      <c r="K40" s="13"/>
      <c r="L40" s="13"/>
      <c r="M40" s="14"/>
      <c r="N40" s="14"/>
      <c r="O40" s="14"/>
      <c r="P40" s="14"/>
      <c r="Q40" s="12"/>
      <c r="R40" s="12"/>
      <c r="S40" s="12"/>
      <c r="T40" s="14"/>
      <c r="U40" s="14"/>
      <c r="V40" s="14"/>
      <c r="W40" s="12"/>
      <c r="X40" s="14"/>
      <c r="Y40" s="12"/>
      <c r="Z40" s="12"/>
    </row>
    <row r="41" spans="1:26" ht="12" customHeight="1">
      <c r="A41" s="12"/>
      <c r="B41" s="12"/>
      <c r="C41" s="14"/>
      <c r="D41" s="12"/>
      <c r="E41" s="12"/>
      <c r="F41" s="13"/>
      <c r="G41" s="12"/>
      <c r="H41" s="13"/>
      <c r="I41" s="13"/>
      <c r="J41" s="13"/>
      <c r="K41" s="13"/>
      <c r="L41" s="13"/>
      <c r="M41" s="14"/>
      <c r="N41" s="14"/>
      <c r="O41" s="14"/>
      <c r="P41" s="14"/>
      <c r="Q41" s="12"/>
      <c r="R41" s="12"/>
      <c r="S41" s="12"/>
      <c r="T41" s="14"/>
      <c r="U41" s="14"/>
      <c r="V41" s="14"/>
      <c r="W41" s="12"/>
      <c r="X41" s="14"/>
      <c r="Y41" s="12"/>
      <c r="Z41" s="12"/>
    </row>
    <row r="42" spans="1:26" ht="12" customHeight="1">
      <c r="A42" s="12"/>
      <c r="B42" s="12"/>
      <c r="C42" s="14"/>
      <c r="D42" s="12"/>
      <c r="E42" s="12"/>
      <c r="F42" s="13"/>
      <c r="G42" s="12"/>
      <c r="H42" s="13"/>
      <c r="I42" s="13"/>
      <c r="J42" s="13"/>
      <c r="K42" s="13"/>
      <c r="L42" s="13"/>
      <c r="M42" s="14"/>
      <c r="N42" s="14"/>
      <c r="O42" s="14"/>
      <c r="P42" s="14"/>
      <c r="Q42" s="12"/>
      <c r="R42" s="12"/>
      <c r="S42" s="12"/>
      <c r="T42" s="14"/>
      <c r="U42" s="14"/>
      <c r="V42" s="14"/>
      <c r="W42" s="12"/>
      <c r="X42" s="14"/>
      <c r="Y42" s="12"/>
      <c r="Z42" s="12"/>
    </row>
    <row r="43" spans="1:26" ht="12" customHeight="1">
      <c r="A43" s="12"/>
      <c r="B43" s="12"/>
      <c r="C43" s="14"/>
      <c r="D43" s="12"/>
      <c r="E43" s="12"/>
      <c r="F43" s="13"/>
      <c r="G43" s="12"/>
      <c r="H43" s="13"/>
      <c r="I43" s="13"/>
      <c r="J43" s="13"/>
      <c r="K43" s="13"/>
      <c r="L43" s="13"/>
      <c r="M43" s="14"/>
      <c r="N43" s="14"/>
      <c r="O43" s="14"/>
      <c r="P43" s="14"/>
      <c r="Q43" s="12"/>
      <c r="R43" s="12"/>
      <c r="S43" s="12"/>
      <c r="T43" s="14"/>
      <c r="U43" s="14"/>
      <c r="V43" s="14"/>
      <c r="W43" s="12"/>
      <c r="X43" s="14"/>
      <c r="Y43" s="12"/>
      <c r="Z43" s="12"/>
    </row>
    <row r="44" spans="1:26" ht="12" customHeight="1">
      <c r="A44" s="12"/>
      <c r="B44" s="12"/>
      <c r="C44" s="14"/>
      <c r="D44" s="12"/>
      <c r="E44" s="12"/>
      <c r="F44" s="13"/>
      <c r="G44" s="12"/>
      <c r="H44" s="13"/>
      <c r="I44" s="13"/>
      <c r="J44" s="13"/>
      <c r="K44" s="13"/>
      <c r="L44" s="13"/>
      <c r="M44" s="14"/>
      <c r="N44" s="14"/>
      <c r="O44" s="14"/>
      <c r="P44" s="14"/>
      <c r="Q44" s="12"/>
      <c r="R44" s="12"/>
      <c r="S44" s="12"/>
      <c r="T44" s="14"/>
      <c r="U44" s="14"/>
      <c r="V44" s="14"/>
      <c r="W44" s="12"/>
      <c r="X44" s="14"/>
      <c r="Y44" s="12"/>
      <c r="Z44" s="12"/>
    </row>
    <row r="45" spans="1:26" ht="12" customHeight="1">
      <c r="A45" s="12"/>
      <c r="B45" s="12"/>
      <c r="C45" s="14"/>
      <c r="D45" s="12"/>
      <c r="E45" s="12"/>
      <c r="F45" s="13"/>
      <c r="G45" s="12"/>
      <c r="H45" s="13"/>
      <c r="I45" s="13"/>
      <c r="J45" s="13"/>
      <c r="K45" s="13"/>
      <c r="L45" s="13"/>
      <c r="M45" s="14"/>
      <c r="N45" s="14"/>
      <c r="O45" s="14"/>
      <c r="P45" s="14"/>
      <c r="Q45" s="12"/>
      <c r="R45" s="12"/>
      <c r="S45" s="12"/>
      <c r="T45" s="14"/>
      <c r="U45" s="14"/>
      <c r="V45" s="14"/>
      <c r="W45" s="12"/>
      <c r="X45" s="14"/>
      <c r="Y45" s="12"/>
      <c r="Z45" s="12"/>
    </row>
    <row r="46" spans="1:26" ht="12" customHeight="1">
      <c r="A46" s="12"/>
      <c r="B46" s="12"/>
      <c r="C46" s="14"/>
      <c r="D46" s="12"/>
      <c r="E46" s="12"/>
      <c r="F46" s="13"/>
      <c r="G46" s="12"/>
      <c r="H46" s="13"/>
      <c r="I46" s="13"/>
      <c r="J46" s="13"/>
      <c r="K46" s="13"/>
      <c r="L46" s="13"/>
      <c r="M46" s="14"/>
      <c r="N46" s="14"/>
      <c r="O46" s="14"/>
      <c r="P46" s="14"/>
      <c r="Q46" s="12"/>
      <c r="R46" s="12"/>
      <c r="S46" s="12"/>
      <c r="T46" s="14"/>
      <c r="U46" s="14"/>
      <c r="V46" s="14"/>
      <c r="W46" s="12"/>
      <c r="X46" s="14"/>
      <c r="Y46" s="12"/>
      <c r="Z46" s="12"/>
    </row>
    <row r="47" spans="1:26" ht="12" customHeight="1">
      <c r="A47" s="12"/>
      <c r="B47" s="12"/>
      <c r="C47" s="14"/>
      <c r="D47" s="12"/>
      <c r="E47" s="12"/>
      <c r="F47" s="13"/>
      <c r="G47" s="12"/>
      <c r="H47" s="13"/>
      <c r="I47" s="13"/>
      <c r="J47" s="13"/>
      <c r="K47" s="13"/>
      <c r="L47" s="13"/>
      <c r="M47" s="14"/>
      <c r="N47" s="14"/>
      <c r="O47" s="14"/>
      <c r="P47" s="14"/>
      <c r="Q47" s="12"/>
      <c r="R47" s="12"/>
      <c r="S47" s="12"/>
      <c r="T47" s="14"/>
      <c r="U47" s="14"/>
      <c r="V47" s="14"/>
      <c r="W47" s="12"/>
      <c r="X47" s="14"/>
      <c r="Y47" s="12"/>
      <c r="Z47" s="12"/>
    </row>
    <row r="48" spans="1:26" ht="12" customHeight="1">
      <c r="A48" s="12"/>
      <c r="B48" s="12"/>
      <c r="C48" s="14"/>
      <c r="D48" s="12"/>
      <c r="E48" s="12"/>
      <c r="F48" s="13"/>
      <c r="G48" s="12"/>
      <c r="H48" s="13"/>
      <c r="I48" s="13"/>
      <c r="J48" s="13"/>
      <c r="K48" s="13"/>
      <c r="L48" s="13"/>
      <c r="M48" s="14"/>
      <c r="N48" s="14"/>
      <c r="O48" s="14"/>
      <c r="P48" s="14"/>
      <c r="Q48" s="12"/>
      <c r="R48" s="12"/>
      <c r="S48" s="12"/>
      <c r="T48" s="14"/>
      <c r="U48" s="14"/>
      <c r="V48" s="14"/>
      <c r="W48" s="12"/>
      <c r="X48" s="14"/>
      <c r="Y48" s="12"/>
      <c r="Z48" s="12"/>
    </row>
    <row r="49" spans="1:26" ht="12" customHeight="1">
      <c r="A49" s="12"/>
      <c r="B49" s="12"/>
      <c r="C49" s="14"/>
      <c r="D49" s="12"/>
      <c r="E49" s="12"/>
      <c r="F49" s="13"/>
      <c r="G49" s="12"/>
      <c r="H49" s="13"/>
      <c r="I49" s="13"/>
      <c r="J49" s="13"/>
      <c r="K49" s="13"/>
      <c r="L49" s="13"/>
      <c r="M49" s="14"/>
      <c r="N49" s="14"/>
      <c r="O49" s="14"/>
      <c r="P49" s="14"/>
      <c r="Q49" s="12"/>
      <c r="R49" s="12"/>
      <c r="S49" s="12"/>
      <c r="T49" s="14"/>
      <c r="U49" s="14"/>
      <c r="V49" s="14"/>
      <c r="W49" s="12"/>
      <c r="X49" s="14"/>
      <c r="Y49" s="12"/>
      <c r="Z49" s="12"/>
    </row>
    <row r="50" spans="1:26" ht="12" customHeight="1">
      <c r="A50" s="12"/>
      <c r="B50" s="12"/>
      <c r="C50" s="14"/>
      <c r="D50" s="12"/>
      <c r="E50" s="12"/>
      <c r="F50" s="13"/>
      <c r="G50" s="12"/>
      <c r="H50" s="13"/>
      <c r="I50" s="13"/>
      <c r="J50" s="13"/>
      <c r="K50" s="13"/>
      <c r="L50" s="13"/>
      <c r="M50" s="14"/>
      <c r="N50" s="14"/>
      <c r="O50" s="14"/>
      <c r="P50" s="14"/>
      <c r="Q50" s="12"/>
      <c r="R50" s="12"/>
      <c r="S50" s="12"/>
      <c r="T50" s="14"/>
      <c r="U50" s="14"/>
      <c r="V50" s="14"/>
      <c r="W50" s="12"/>
      <c r="X50" s="14"/>
      <c r="Y50" s="12"/>
      <c r="Z50" s="12"/>
    </row>
    <row r="51" spans="1:26" ht="12" customHeight="1">
      <c r="A51" s="12"/>
      <c r="B51" s="12"/>
      <c r="C51" s="14"/>
      <c r="D51" s="12"/>
      <c r="E51" s="12"/>
      <c r="F51" s="13"/>
      <c r="G51" s="12"/>
      <c r="H51" s="13"/>
      <c r="I51" s="13"/>
      <c r="J51" s="13"/>
      <c r="K51" s="13"/>
      <c r="L51" s="13"/>
      <c r="M51" s="14"/>
      <c r="N51" s="14"/>
      <c r="O51" s="14"/>
      <c r="P51" s="14"/>
      <c r="Q51" s="12"/>
      <c r="R51" s="12"/>
      <c r="S51" s="12"/>
      <c r="T51" s="14"/>
      <c r="U51" s="14"/>
      <c r="V51" s="14"/>
      <c r="W51" s="12"/>
      <c r="X51" s="14"/>
      <c r="Y51" s="12"/>
      <c r="Z51" s="12"/>
    </row>
    <row r="52" spans="1:26" ht="12" customHeight="1">
      <c r="A52" s="12"/>
      <c r="B52" s="12"/>
      <c r="C52" s="14"/>
      <c r="D52" s="12"/>
      <c r="E52" s="12"/>
      <c r="F52" s="13"/>
      <c r="G52" s="12"/>
      <c r="H52" s="13"/>
      <c r="I52" s="13"/>
      <c r="J52" s="13"/>
      <c r="K52" s="13"/>
      <c r="L52" s="13"/>
      <c r="M52" s="14"/>
      <c r="N52" s="14"/>
      <c r="O52" s="14"/>
      <c r="P52" s="14"/>
      <c r="Q52" s="12"/>
      <c r="R52" s="12"/>
      <c r="S52" s="12"/>
      <c r="T52" s="14"/>
      <c r="U52" s="14"/>
      <c r="V52" s="14"/>
      <c r="W52" s="12"/>
      <c r="X52" s="14"/>
      <c r="Y52" s="12"/>
      <c r="Z52" s="12"/>
    </row>
    <row r="53" spans="1:26" ht="12" customHeight="1">
      <c r="A53" s="12"/>
      <c r="B53" s="12"/>
      <c r="C53" s="14"/>
      <c r="D53" s="12"/>
      <c r="E53" s="12"/>
      <c r="F53" s="13"/>
      <c r="G53" s="12"/>
      <c r="H53" s="13"/>
      <c r="I53" s="13"/>
      <c r="J53" s="13"/>
      <c r="K53" s="13"/>
      <c r="L53" s="13"/>
      <c r="M53" s="14"/>
      <c r="N53" s="14"/>
      <c r="O53" s="14"/>
      <c r="P53" s="14"/>
      <c r="Q53" s="12"/>
      <c r="R53" s="12"/>
      <c r="S53" s="12"/>
      <c r="T53" s="14"/>
      <c r="U53" s="14"/>
      <c r="V53" s="14"/>
      <c r="W53" s="12"/>
      <c r="X53" s="14"/>
      <c r="Y53" s="12"/>
      <c r="Z53" s="12"/>
    </row>
    <row r="54" spans="1:26" ht="12" customHeight="1">
      <c r="A54" s="12"/>
      <c r="B54" s="12"/>
      <c r="C54" s="14"/>
      <c r="D54" s="12"/>
      <c r="E54" s="12"/>
      <c r="F54" s="13"/>
      <c r="G54" s="12"/>
      <c r="H54" s="13"/>
      <c r="I54" s="13"/>
      <c r="J54" s="13"/>
      <c r="K54" s="13"/>
      <c r="L54" s="13"/>
      <c r="M54" s="14"/>
      <c r="N54" s="14"/>
      <c r="O54" s="14"/>
      <c r="P54" s="14"/>
      <c r="Q54" s="12"/>
      <c r="R54" s="12"/>
      <c r="S54" s="12"/>
      <c r="T54" s="14"/>
      <c r="U54" s="14"/>
      <c r="V54" s="14"/>
      <c r="W54" s="12"/>
      <c r="X54" s="14"/>
      <c r="Y54" s="12"/>
      <c r="Z54" s="12"/>
    </row>
    <row r="55" spans="1:26" ht="12" customHeight="1">
      <c r="A55" s="12"/>
      <c r="B55" s="12"/>
      <c r="C55" s="14"/>
      <c r="D55" s="12"/>
      <c r="E55" s="12"/>
      <c r="F55" s="13"/>
      <c r="G55" s="12"/>
      <c r="H55" s="13"/>
      <c r="I55" s="13"/>
      <c r="J55" s="13"/>
      <c r="K55" s="13"/>
      <c r="L55" s="13"/>
      <c r="M55" s="14"/>
      <c r="N55" s="14"/>
      <c r="O55" s="14"/>
      <c r="P55" s="14"/>
      <c r="Q55" s="12"/>
      <c r="R55" s="12"/>
      <c r="S55" s="12"/>
      <c r="T55" s="14"/>
      <c r="U55" s="14"/>
      <c r="V55" s="14"/>
      <c r="W55" s="12"/>
      <c r="X55" s="14"/>
      <c r="Y55" s="12"/>
      <c r="Z55" s="12"/>
    </row>
    <row r="56" spans="1:26" ht="12" customHeight="1">
      <c r="A56" s="12"/>
      <c r="B56" s="12"/>
      <c r="C56" s="14"/>
      <c r="D56" s="12"/>
      <c r="E56" s="12"/>
      <c r="F56" s="13"/>
      <c r="G56" s="12"/>
      <c r="H56" s="13"/>
      <c r="I56" s="13"/>
      <c r="J56" s="13"/>
      <c r="K56" s="13"/>
      <c r="L56" s="13"/>
      <c r="M56" s="14"/>
      <c r="N56" s="14"/>
      <c r="O56" s="14"/>
      <c r="P56" s="14"/>
      <c r="Q56" s="12"/>
      <c r="R56" s="12"/>
      <c r="S56" s="12"/>
      <c r="T56" s="14"/>
      <c r="U56" s="14"/>
      <c r="V56" s="14"/>
      <c r="W56" s="12"/>
      <c r="X56" s="14"/>
      <c r="Y56" s="12"/>
      <c r="Z56" s="12"/>
    </row>
    <row r="57" spans="1:26" ht="12" customHeight="1">
      <c r="A57" s="12"/>
      <c r="B57" s="12"/>
      <c r="C57" s="14"/>
      <c r="D57" s="12"/>
      <c r="E57" s="12"/>
      <c r="F57" s="13"/>
      <c r="G57" s="12"/>
      <c r="H57" s="13"/>
      <c r="I57" s="13"/>
      <c r="J57" s="13"/>
      <c r="K57" s="13"/>
      <c r="L57" s="13"/>
      <c r="M57" s="14"/>
      <c r="N57" s="14"/>
      <c r="O57" s="14"/>
      <c r="P57" s="14"/>
      <c r="Q57" s="12"/>
      <c r="R57" s="12"/>
      <c r="S57" s="12"/>
      <c r="T57" s="14"/>
      <c r="U57" s="14"/>
      <c r="V57" s="14"/>
      <c r="W57" s="12"/>
      <c r="X57" s="14"/>
      <c r="Y57" s="12"/>
      <c r="Z57" s="12"/>
    </row>
    <row r="58" spans="1:26" ht="12" customHeight="1">
      <c r="A58" s="12"/>
      <c r="B58" s="12"/>
      <c r="C58" s="14"/>
      <c r="D58" s="12"/>
      <c r="E58" s="12"/>
      <c r="F58" s="13"/>
      <c r="G58" s="12"/>
      <c r="H58" s="13"/>
      <c r="I58" s="13"/>
      <c r="J58" s="13"/>
      <c r="K58" s="13"/>
      <c r="L58" s="13"/>
      <c r="M58" s="14"/>
      <c r="N58" s="14"/>
      <c r="O58" s="14"/>
      <c r="P58" s="14"/>
      <c r="Q58" s="12"/>
      <c r="R58" s="12"/>
      <c r="S58" s="12"/>
      <c r="T58" s="14"/>
      <c r="U58" s="14"/>
      <c r="V58" s="14"/>
      <c r="W58" s="12"/>
      <c r="X58" s="14"/>
      <c r="Y58" s="12"/>
      <c r="Z58" s="12"/>
    </row>
    <row r="59" spans="1:26" ht="12" customHeight="1">
      <c r="A59" s="12"/>
      <c r="B59" s="12"/>
      <c r="C59" s="14"/>
      <c r="D59" s="12"/>
      <c r="E59" s="12"/>
      <c r="F59" s="13"/>
      <c r="G59" s="12"/>
      <c r="H59" s="13"/>
      <c r="I59" s="13"/>
      <c r="J59" s="13"/>
      <c r="K59" s="13"/>
      <c r="L59" s="13"/>
      <c r="M59" s="14"/>
      <c r="N59" s="14"/>
      <c r="O59" s="14"/>
      <c r="P59" s="14"/>
      <c r="Q59" s="12"/>
      <c r="R59" s="12"/>
      <c r="S59" s="12"/>
      <c r="T59" s="14"/>
      <c r="U59" s="14"/>
      <c r="V59" s="14"/>
      <c r="W59" s="12"/>
      <c r="X59" s="14"/>
      <c r="Y59" s="12"/>
      <c r="Z59" s="12"/>
    </row>
    <row r="60" spans="1:26" ht="12" customHeight="1">
      <c r="A60" s="12"/>
      <c r="B60" s="12"/>
      <c r="C60" s="14"/>
      <c r="D60" s="12"/>
      <c r="E60" s="12"/>
      <c r="F60" s="13"/>
      <c r="G60" s="12"/>
      <c r="H60" s="13"/>
      <c r="I60" s="13"/>
      <c r="J60" s="13"/>
      <c r="K60" s="13"/>
      <c r="L60" s="13"/>
      <c r="M60" s="14"/>
      <c r="N60" s="14"/>
      <c r="O60" s="14"/>
      <c r="P60" s="14"/>
      <c r="Q60" s="12"/>
      <c r="R60" s="12"/>
      <c r="S60" s="12"/>
      <c r="T60" s="14"/>
      <c r="U60" s="14"/>
      <c r="V60" s="14"/>
      <c r="W60" s="12"/>
      <c r="X60" s="14"/>
      <c r="Y60" s="12"/>
      <c r="Z60" s="12"/>
    </row>
    <row r="61" spans="1:26" ht="12" customHeight="1">
      <c r="A61" s="12"/>
      <c r="B61" s="12"/>
      <c r="C61" s="14"/>
      <c r="D61" s="12"/>
      <c r="E61" s="12"/>
      <c r="F61" s="13"/>
      <c r="G61" s="12"/>
      <c r="H61" s="13"/>
      <c r="I61" s="13"/>
      <c r="J61" s="13"/>
      <c r="K61" s="13"/>
      <c r="L61" s="13"/>
      <c r="M61" s="14"/>
      <c r="N61" s="14"/>
      <c r="O61" s="14"/>
      <c r="P61" s="14"/>
      <c r="Q61" s="12"/>
      <c r="R61" s="12"/>
      <c r="S61" s="12"/>
      <c r="T61" s="14"/>
      <c r="U61" s="14"/>
      <c r="V61" s="14"/>
      <c r="W61" s="12"/>
      <c r="X61" s="14"/>
      <c r="Y61" s="12"/>
      <c r="Z61" s="12"/>
    </row>
    <row r="62" spans="1:26" ht="12" customHeight="1">
      <c r="A62" s="12"/>
      <c r="B62" s="12"/>
      <c r="C62" s="14"/>
      <c r="D62" s="12"/>
      <c r="E62" s="12"/>
      <c r="F62" s="13"/>
      <c r="G62" s="12"/>
      <c r="H62" s="13"/>
      <c r="I62" s="13"/>
      <c r="J62" s="13"/>
      <c r="K62" s="13"/>
      <c r="L62" s="13"/>
      <c r="M62" s="14"/>
      <c r="N62" s="14"/>
      <c r="O62" s="14"/>
      <c r="P62" s="14"/>
      <c r="Q62" s="12"/>
      <c r="R62" s="12"/>
      <c r="S62" s="12"/>
      <c r="T62" s="14"/>
      <c r="U62" s="14"/>
      <c r="V62" s="14"/>
      <c r="W62" s="12"/>
      <c r="X62" s="14"/>
      <c r="Y62" s="12"/>
      <c r="Z62" s="12"/>
    </row>
    <row r="63" spans="1:26" ht="12" customHeight="1">
      <c r="A63" s="12"/>
      <c r="B63" s="12"/>
      <c r="C63" s="14"/>
      <c r="D63" s="12"/>
      <c r="E63" s="12"/>
      <c r="F63" s="13"/>
      <c r="G63" s="12"/>
      <c r="H63" s="13"/>
      <c r="I63" s="13"/>
      <c r="J63" s="13"/>
      <c r="K63" s="13"/>
      <c r="L63" s="13"/>
      <c r="M63" s="14"/>
      <c r="N63" s="14"/>
      <c r="O63" s="14"/>
      <c r="P63" s="14"/>
      <c r="Q63" s="12"/>
      <c r="R63" s="12"/>
      <c r="S63" s="12"/>
      <c r="T63" s="14"/>
      <c r="U63" s="14"/>
      <c r="V63" s="14"/>
      <c r="W63" s="12"/>
      <c r="X63" s="14"/>
      <c r="Y63" s="12"/>
      <c r="Z63" s="12"/>
    </row>
    <row r="64" spans="1:26" ht="12" customHeight="1">
      <c r="A64" s="12"/>
      <c r="B64" s="12"/>
      <c r="C64" s="14"/>
      <c r="D64" s="12"/>
      <c r="E64" s="12"/>
      <c r="F64" s="13"/>
      <c r="G64" s="12"/>
      <c r="H64" s="13"/>
      <c r="I64" s="13"/>
      <c r="J64" s="13"/>
      <c r="K64" s="13"/>
      <c r="L64" s="13"/>
      <c r="M64" s="14"/>
      <c r="N64" s="14"/>
      <c r="O64" s="14"/>
      <c r="P64" s="14"/>
      <c r="Q64" s="12"/>
      <c r="R64" s="12"/>
      <c r="S64" s="12"/>
      <c r="T64" s="14"/>
      <c r="U64" s="14"/>
      <c r="V64" s="14"/>
      <c r="W64" s="12"/>
      <c r="X64" s="14"/>
      <c r="Y64" s="12"/>
      <c r="Z64" s="12"/>
    </row>
    <row r="65" spans="1:26" ht="12" customHeight="1">
      <c r="A65" s="12"/>
      <c r="B65" s="12"/>
      <c r="C65" s="14"/>
      <c r="D65" s="12"/>
      <c r="E65" s="12"/>
      <c r="F65" s="13"/>
      <c r="G65" s="12"/>
      <c r="H65" s="13"/>
      <c r="I65" s="13"/>
      <c r="J65" s="13"/>
      <c r="K65" s="13"/>
      <c r="L65" s="13"/>
      <c r="M65" s="14"/>
      <c r="N65" s="14"/>
      <c r="O65" s="14"/>
      <c r="P65" s="14"/>
      <c r="Q65" s="12"/>
      <c r="R65" s="12"/>
      <c r="S65" s="12"/>
      <c r="T65" s="14"/>
      <c r="U65" s="14"/>
      <c r="V65" s="14"/>
      <c r="W65" s="12"/>
      <c r="X65" s="14"/>
      <c r="Y65" s="12"/>
      <c r="Z65" s="12"/>
    </row>
    <row r="66" spans="1:26" ht="12" customHeight="1">
      <c r="A66" s="12"/>
      <c r="B66" s="12"/>
      <c r="C66" s="14"/>
      <c r="D66" s="12"/>
      <c r="E66" s="12"/>
      <c r="F66" s="13"/>
      <c r="G66" s="12"/>
      <c r="H66" s="13"/>
      <c r="I66" s="13"/>
      <c r="J66" s="13"/>
      <c r="K66" s="13"/>
      <c r="L66" s="13"/>
      <c r="M66" s="14"/>
      <c r="N66" s="14"/>
      <c r="O66" s="14"/>
      <c r="P66" s="14"/>
      <c r="Q66" s="12"/>
      <c r="R66" s="12"/>
      <c r="S66" s="12"/>
      <c r="T66" s="14"/>
      <c r="U66" s="14"/>
      <c r="V66" s="14"/>
      <c r="W66" s="12"/>
      <c r="X66" s="14"/>
      <c r="Y66" s="12"/>
      <c r="Z66" s="12"/>
    </row>
    <row r="67" spans="1:26" ht="12" customHeight="1">
      <c r="A67" s="12"/>
      <c r="B67" s="12"/>
      <c r="C67" s="14"/>
      <c r="D67" s="12"/>
      <c r="E67" s="12"/>
      <c r="F67" s="13"/>
      <c r="G67" s="12"/>
      <c r="H67" s="13"/>
      <c r="I67" s="13"/>
      <c r="J67" s="13"/>
      <c r="K67" s="13"/>
      <c r="L67" s="13"/>
      <c r="M67" s="14"/>
      <c r="N67" s="14"/>
      <c r="O67" s="14"/>
      <c r="P67" s="14"/>
      <c r="Q67" s="12"/>
      <c r="R67" s="12"/>
      <c r="S67" s="12"/>
      <c r="T67" s="14"/>
      <c r="U67" s="14"/>
      <c r="V67" s="14"/>
      <c r="W67" s="12"/>
      <c r="X67" s="14"/>
      <c r="Y67" s="12"/>
      <c r="Z67" s="12"/>
    </row>
    <row r="68" spans="1:26" ht="12" customHeight="1"/>
    <row r="69" spans="1:26" ht="12" customHeight="1"/>
    <row r="70" spans="1:26" ht="12" customHeight="1"/>
    <row r="71" spans="1:26" ht="12" customHeight="1"/>
    <row r="72" spans="1:26" ht="12" customHeight="1"/>
    <row r="73" spans="1:26" ht="12" customHeight="1"/>
    <row r="74" spans="1:26" ht="12" customHeight="1"/>
    <row r="75" spans="1:26" ht="12" customHeight="1"/>
    <row r="76" spans="1:26" ht="12" customHeight="1"/>
    <row r="77" spans="1:26" ht="12" customHeight="1"/>
    <row r="78" spans="1:26" ht="12" customHeight="1"/>
    <row r="79" spans="1:26" ht="12" customHeight="1"/>
    <row r="80" spans="1:26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92"/>
  <sheetViews>
    <sheetView workbookViewId="0">
      <selection activeCell="G11" sqref="G11"/>
    </sheetView>
  </sheetViews>
  <sheetFormatPr defaultRowHeight="13.8"/>
  <cols>
    <col min="1" max="1" width="17" customWidth="1"/>
    <col min="2" max="2" width="25.69921875" customWidth="1"/>
    <col min="3" max="3" width="6" customWidth="1"/>
    <col min="4" max="4" width="5.69921875" customWidth="1"/>
    <col min="5" max="5" width="6.19921875" bestFit="1" customWidth="1"/>
    <col min="6" max="6" width="6.296875" customWidth="1"/>
    <col min="7" max="7" width="6.5" bestFit="1" customWidth="1"/>
    <col min="8" max="8" width="15" customWidth="1"/>
    <col min="9" max="9" width="8.59765625" customWidth="1"/>
    <col min="10" max="10" width="9.8984375" customWidth="1"/>
    <col min="11" max="11" width="11.3984375" customWidth="1"/>
    <col min="12" max="12" width="8.3984375" customWidth="1"/>
    <col min="13" max="13" width="10.19921875" bestFit="1" customWidth="1"/>
    <col min="14" max="14" width="10.8984375" customWidth="1"/>
    <col min="15" max="15" width="10" customWidth="1"/>
    <col min="16" max="16" width="18.09765625" customWidth="1"/>
    <col min="17" max="17" width="9.296875" bestFit="1" customWidth="1"/>
    <col min="18" max="18" width="13.59765625" bestFit="1" customWidth="1"/>
    <col min="19" max="19" width="19.69921875" bestFit="1" customWidth="1"/>
    <col min="20" max="20" width="32.09765625" bestFit="1" customWidth="1"/>
  </cols>
  <sheetData>
    <row r="1" spans="1:32" ht="13.65" customHeight="1">
      <c r="A1" s="25" t="s">
        <v>96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2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2" customHeight="1">
      <c r="A3" s="31" t="s" cm="1">
        <v>65</v>
      </c>
      <c r="B3" s="31" t="s">
        <v>66</v>
      </c>
      <c r="C3" s="31" t="s">
        <v>29</v>
      </c>
      <c r="D3" s="31" t="s">
        <v>30</v>
      </c>
      <c r="E3" s="31" t="s">
        <v>31</v>
      </c>
      <c r="F3" s="31" t="s">
        <v>62</v>
      </c>
      <c r="G3" s="31" t="s">
        <v>67</v>
      </c>
      <c r="H3" s="31" t="s">
        <v>33</v>
      </c>
      <c r="I3" s="31" t="s">
        <v>97</v>
      </c>
      <c r="J3" s="31" t="s">
        <v>98</v>
      </c>
      <c r="K3" s="31" t="s">
        <v>99</v>
      </c>
      <c r="L3" s="31" t="s">
        <v>100</v>
      </c>
      <c r="M3" s="31" t="s">
        <v>101</v>
      </c>
      <c r="N3" s="31" t="s">
        <v>102</v>
      </c>
      <c r="O3" s="31" t="s">
        <v>103</v>
      </c>
      <c r="P3" s="31" t="s">
        <v>104</v>
      </c>
      <c r="Q3" s="31" t="s">
        <v>105</v>
      </c>
      <c r="R3" s="31" t="s">
        <v>106</v>
      </c>
      <c r="S3" s="31" t="s">
        <v>86</v>
      </c>
      <c r="T3" s="31" t="s">
        <v>107</v>
      </c>
      <c r="U3" s="9"/>
      <c r="V3" s="9"/>
      <c r="W3" s="9"/>
      <c r="X3" s="9"/>
      <c r="Y3" s="9"/>
      <c r="Z3" s="3"/>
      <c r="AA3" s="3"/>
      <c r="AB3" s="3"/>
      <c r="AC3" s="3"/>
      <c r="AD3" s="3"/>
      <c r="AE3" s="3"/>
      <c r="AF3" s="3"/>
    </row>
    <row r="4" spans="1:32" ht="12" customHeight="1">
      <c r="A4" s="16" t="str">
        <f>Priority_Orders!A2</f>
        <v>PO-US-A-001</v>
      </c>
      <c r="B4" s="16" t="str">
        <f>Priority_Orders!B2</f>
        <v>US-20260511-40_1</v>
      </c>
      <c r="C4" s="16" t="str">
        <f>Priority_Orders!C2</f>
        <v>A</v>
      </c>
      <c r="D4" s="16">
        <f>Priority_Orders!D2</f>
        <v>20000</v>
      </c>
      <c r="E4" s="16" t="str">
        <f>Priority_Orders!E2</f>
        <v>US</v>
      </c>
      <c r="F4" s="16" t="str">
        <f>Priority_Orders!F2</f>
        <v>DC-US-E</v>
      </c>
      <c r="G4" s="16" t="str">
        <f>Priority_Orders!G2</f>
        <v>High</v>
      </c>
      <c r="H4" s="26">
        <f>IFERROR(_xlfn.XLOOKUP(B4,Tracked_Pipeline_Loads!$A$2:$A$100,Tracked_Pipeline_Loads!$G$2:$G$100),"")</f>
        <v>46153</v>
      </c>
      <c r="I4" s="16">
        <f>IF(H4="","",IFERROR(_xlfn.XLOOKUP(B4,Tracked_Pipeline_Loads!$A$2:$A$100,Tracked_Pipeline_Loads!$H$2:$H$100),""))</f>
        <v>50</v>
      </c>
      <c r="J4" s="26">
        <f>IF(H4="","",IFERROR(_xlfn.XLOOKUP(B4,Tracked_Pipeline_Loads!$A$2:$A$100,Tracked_Pipeline_Loads!$I$2:$I$100),""))</f>
        <v>46203</v>
      </c>
      <c r="K4" s="16">
        <f>IF(H4="","",IF(F4="DC-US-E",_xlfn.XLOOKUP(TRUE,Scenario_Config!$C$2:$C$3,Scenario_Config!$D$2:$D$3,0),IF(F4="DC-UK",_xlfn.XLOOKUP(TRUE,Scenario_Config!$C$2:$C$3,Scenario_Config!$E$2:$E$3,0),0)))</f>
        <v>15</v>
      </c>
      <c r="L4" s="16">
        <f>IF(I4="","",I4+K4)</f>
        <v>65</v>
      </c>
      <c r="M4" s="26">
        <f>IF(H4="","",H4+L4)</f>
        <v>46218</v>
      </c>
      <c r="N4" s="26">
        <f>IF(H4="","",IFERROR(_xlfn.XLOOKUP(B4,Tracked_Pipeline_Loads!$A$2:$A$100,Tracked_Pipeline_Loads!$J$2:$J$100),""))</f>
        <v>46235</v>
      </c>
      <c r="O4" s="26">
        <f>IF(H4="","",IFERROR(_xlfn.XLOOKUP(B4,Tracked_Pipeline_Loads!$A$2:$A$100,Tracked_Pipeline_Loads!$K$2:$K$100),""))</f>
        <v>46265</v>
      </c>
      <c r="P4" s="16">
        <f>IF(OR(N4="",M4=""),"",N4-M4)</f>
        <v>17</v>
      </c>
      <c r="Q4" s="16">
        <f>IF(OR(O4="",M4=""),"",MAX(0,M4-O4))</f>
        <v>0</v>
      </c>
      <c r="R4" s="16" t="str">
        <f>IF(H4="","NO TRACKED LOAD",IF(M4&lt;N4,"EARLY / STAGING",IF(M4&lt;=O4,"IN PEAK WINDOW","RED - MISSED PEAK")))</f>
        <v>EARLY / STAGING</v>
      </c>
      <c r="S4" s="18">
        <f>_xlfn.XLOOKUP(TRUE,Scenario_Config!$C$2:$C$3,Scenario_Config!$F$2:$F$3,0)</f>
        <v>0.2</v>
      </c>
      <c r="T4" s="16" t="str">
        <f>IF(R4="NO TRACKED LOAD","Assign Batch / Load ID first",IF(R4="RED - MISSED PEAK","Evaluate air/split or reallocate demand",IF(P4&lt;5,"Prioritize unloading and DC allocation",IF(P4&lt;15,"Monitor ETA daily and prepare contingency","Keep sea freight as planned"))))</f>
        <v>Keep sea freight as planned</v>
      </c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2" customHeight="1">
      <c r="A5" s="16" t="str">
        <f>Priority_Orders!A3</f>
        <v>PO-UK-A-001</v>
      </c>
      <c r="B5" s="16" t="str">
        <f>Priority_Orders!B3</f>
        <v>UK-20260608-40_1</v>
      </c>
      <c r="C5" s="16" t="str">
        <f>Priority_Orders!C3</f>
        <v>A</v>
      </c>
      <c r="D5" s="16">
        <f>Priority_Orders!D3</f>
        <v>13773</v>
      </c>
      <c r="E5" s="16" t="str">
        <f>Priority_Orders!E3</f>
        <v>UK</v>
      </c>
      <c r="F5" s="16" t="str">
        <f>Priority_Orders!F3</f>
        <v>DC-UK</v>
      </c>
      <c r="G5" s="16" t="str">
        <f>Priority_Orders!G3</f>
        <v>High</v>
      </c>
      <c r="H5" s="26">
        <f>IFERROR(_xlfn.XLOOKUP(B5,Tracked_Pipeline_Loads!$A$2:$A$100,Tracked_Pipeline_Loads!$G$2:$G$100),"")</f>
        <v>46181</v>
      </c>
      <c r="I5" s="16">
        <f>IF(H5="","",IFERROR(_xlfn.XLOOKUP(B5,Tracked_Pipeline_Loads!$A$2:$A$100,Tracked_Pipeline_Loads!$H$2:$H$100),""))</f>
        <v>40</v>
      </c>
      <c r="J5" s="26">
        <f>IF(H5="","",IFERROR(_xlfn.XLOOKUP(B5,Tracked_Pipeline_Loads!$A$2:$A$100,Tracked_Pipeline_Loads!$I$2:$I$100),""))</f>
        <v>46221</v>
      </c>
      <c r="K5" s="16">
        <f>IF(H5="","",IF(F5="DC-US-E",_xlfn.XLOOKUP(TRUE,Scenario_Config!$C$2:$C$3,Scenario_Config!$D$2:$D$3,0),IF(F5="DC-UK",_xlfn.XLOOKUP(TRUE,Scenario_Config!$C$2:$C$3,Scenario_Config!$E$2:$E$3,0),0)))</f>
        <v>15</v>
      </c>
      <c r="L5" s="16">
        <f>IF(I5="","",I5+K5)</f>
        <v>55</v>
      </c>
      <c r="M5" s="26">
        <f>IF(H5="","",H5+L5)</f>
        <v>46236</v>
      </c>
      <c r="N5" s="26">
        <f>IF(H5="","",IFERROR(_xlfn.XLOOKUP(B5,Tracked_Pipeline_Loads!$A$2:$A$100,Tracked_Pipeline_Loads!$J$2:$J$100),""))</f>
        <v>46082</v>
      </c>
      <c r="O5" s="26">
        <f>IF(H5="","",IFERROR(_xlfn.XLOOKUP(B5,Tracked_Pipeline_Loads!$A$2:$A$100,Tracked_Pipeline_Loads!$K$2:$K$100),""))</f>
        <v>46142</v>
      </c>
      <c r="P5" s="16">
        <f>IF(OR(N5="",M5=""),"",N5-M5)</f>
        <v>-154</v>
      </c>
      <c r="Q5" s="16">
        <f>IF(OR(O5="",M5=""),"",MAX(0,M5-O5))</f>
        <v>94</v>
      </c>
      <c r="R5" s="16" t="str">
        <f>IF(H5="","NO TRACKED LOAD",IF(M5&lt;N5,"EARLY / STAGING",IF(M5&lt;=O5,"IN PEAK WINDOW","RED - MISSED PEAK")))</f>
        <v>RED - MISSED PEAK</v>
      </c>
      <c r="S5" s="18">
        <f>_xlfn.XLOOKUP(TRUE,Scenario_Config!$C$2:$C$3,Scenario_Config!$F$2:$F$3,0)</f>
        <v>0.2</v>
      </c>
      <c r="T5" s="16" t="str">
        <f>IF(R5="NO TRACKED LOAD","Assign Batch / Load ID first",IF(R5="RED - MISSED PEAK","Evaluate air/split or reallocate demand",IF(P5&lt;5,"Prioritize unloading and DC allocation",IF(P5&lt;15,"Monitor ETA daily and prepare contingency","Keep sea freight as planned"))))</f>
        <v>Evaluate air/split or reallocate demand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2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2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2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2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2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2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2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2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2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2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2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0"/>
  <sheetViews>
    <sheetView workbookViewId="0">
      <selection activeCell="E7" sqref="E7"/>
    </sheetView>
  </sheetViews>
  <sheetFormatPr defaultRowHeight="13.8"/>
  <cols>
    <col min="1" max="1" width="11" bestFit="1" customWidth="1"/>
    <col min="2" max="2" width="5.69921875" customWidth="1"/>
    <col min="3" max="3" width="7.796875" bestFit="1" customWidth="1"/>
    <col min="4" max="4" width="19.59765625" customWidth="1"/>
    <col min="5" max="5" width="24.69921875" customWidth="1"/>
    <col min="6" max="6" width="13.296875" customWidth="1"/>
    <col min="7" max="7" width="17.09765625" customWidth="1"/>
    <col min="8" max="8" width="14" customWidth="1"/>
    <col min="9" max="9" width="20.296875" customWidth="1"/>
    <col min="10" max="10" width="15.796875" customWidth="1"/>
    <col min="11" max="11" width="17.8984375" customWidth="1"/>
    <col min="12" max="12" width="20.3984375" customWidth="1"/>
  </cols>
  <sheetData>
    <row r="1" spans="1:12" ht="12" customHeight="1">
      <c r="A1" s="19" t="s">
        <v>65</v>
      </c>
      <c r="B1" s="19" t="s">
        <v>30</v>
      </c>
      <c r="C1" s="19" t="s">
        <v>62</v>
      </c>
      <c r="D1" s="19" t="s">
        <v>237</v>
      </c>
      <c r="E1" s="19" t="s">
        <v>238</v>
      </c>
      <c r="F1" s="19" t="s">
        <v>239</v>
      </c>
      <c r="G1" s="19" t="s">
        <v>240</v>
      </c>
      <c r="H1" s="19" t="s">
        <v>241</v>
      </c>
      <c r="I1" s="19" t="s">
        <v>242</v>
      </c>
      <c r="J1" s="19" t="s">
        <v>243</v>
      </c>
      <c r="K1" s="19" t="s">
        <v>244</v>
      </c>
      <c r="L1" s="19" t="s">
        <v>245</v>
      </c>
    </row>
    <row r="2" spans="1:12" ht="12" customHeight="1">
      <c r="A2" s="20" t="str">
        <f>Priority_Orders!A2</f>
        <v>PO-US-A-001</v>
      </c>
      <c r="B2" s="20">
        <f>Priority_Orders!D2</f>
        <v>20000</v>
      </c>
      <c r="C2" s="20" t="str">
        <f>Priority_Orders!F2</f>
        <v>DC-US-E</v>
      </c>
      <c r="D2" s="20">
        <f>_xlfn.SINGLE(IF(Priority_Orders!E2="US",_xlfn.XLOOKUP("US 40ft FCL rate",Cost_Assumptions!$B$2:$B$12,Cost_Assumptions!$C$2:$C$12),IF(Priority_Orders!E2="UK",_xlfn.XLOOKUP("UK 40ft FCL rate",Cost_Assumptions!$B$2:$B$12,Cost_Assumptions!$C$2:$C$12),0)))</f>
        <v>5200</v>
      </c>
      <c r="E2" s="20">
        <f>D2*(1+_xlfn.SINGLE(_xlfn.XLOOKUP(TRUE,Scenario_Config!$C$2:$C$3,Scenario_Config!$F$2:$F$3,0)))</f>
        <v>6240</v>
      </c>
      <c r="F2" s="20">
        <f>B2*_xlfn.SINGLE(_xlfn.XLOOKUP("Product A weight",Cost_Assumptions!$B$2:$B$12,Cost_Assumptions!$C$2:$C$12))*_xlfn.SINGLE(_xlfn.XLOOKUP("Air freight rate",Cost_Assumptions!$B$2:$B$12,Cost_Assumptions!$C$2:$C$12))</f>
        <v>108000</v>
      </c>
      <c r="G2" s="20">
        <f>_xlfn.SINGLE(_xlfn.XLOOKUP("Urgent air share for split option",Cost_Assumptions!$B$2:$B$12,Cost_Assumptions!$C$2:$C$12))</f>
        <v>0.4</v>
      </c>
      <c r="H2" s="20">
        <f>B2*G2*_xlfn.SINGLE(_xlfn.XLOOKUP("Product A weight",Cost_Assumptions!$B$2:$B$12,Cost_Assumptions!$C$2:$C$12))*_xlfn.SINGLE(_xlfn.XLOOKUP("Air freight rate",Cost_Assumptions!$B$2:$B$12,Cost_Assumptions!$C$2:$C$12))</f>
        <v>43200</v>
      </c>
      <c r="I2" s="20">
        <f>E2*(1-G2)</f>
        <v>3744</v>
      </c>
      <c r="J2" s="20">
        <f>H2+I2</f>
        <v>46944</v>
      </c>
      <c r="K2" s="20" t="str">
        <f>_xlfn.SINGLE(_xlfn.XLOOKUP(A2,Disruption_Simulation!$A$4:$A$12,Disruption_Simulation!$R$4:$R$12,"Not simulated"))</f>
        <v>EARLY / STAGING</v>
      </c>
      <c r="L2" s="20" t="str">
        <f>IF(K2="NO TRACKED LOAD","Assign Batch / Load ID first",IF(ISNUMBER(SEARCH("MISSED",K2)),"Split shipment",IF(ISNUMBER(SEARCH("TIGHT",K2)),"Prepare split / monitor daily","Keep sea freight")))</f>
        <v>Keep sea freight</v>
      </c>
    </row>
    <row r="3" spans="1:12" ht="12" customHeight="1">
      <c r="A3" s="20" t="str">
        <f>Priority_Orders!A3</f>
        <v>PO-UK-A-001</v>
      </c>
      <c r="B3" s="20">
        <f>Priority_Orders!D3</f>
        <v>13773</v>
      </c>
      <c r="C3" s="20" t="str">
        <f>Priority_Orders!F3</f>
        <v>DC-UK</v>
      </c>
      <c r="D3" s="20">
        <f>_xlfn.SINGLE(IF(Priority_Orders!E3="US",_xlfn.XLOOKUP("US 40ft FCL rate",Cost_Assumptions!$B$2:$B$12,Cost_Assumptions!$C$2:$C$12),IF(Priority_Orders!E3="UK",_xlfn.XLOOKUP("UK 40ft FCL rate",Cost_Assumptions!$B$2:$B$12,Cost_Assumptions!$C$2:$C$12),0)))</f>
        <v>4200</v>
      </c>
      <c r="E3" s="20">
        <f>D3*(1+_xlfn.SINGLE(_xlfn.XLOOKUP(TRUE,Scenario_Config!$C$2:$C$3,Scenario_Config!$F$2:$F$3,0)))</f>
        <v>5040</v>
      </c>
      <c r="F3" s="20">
        <f>B3*_xlfn.SINGLE(_xlfn.XLOOKUP("Product A weight",Cost_Assumptions!$B$2:$B$12,Cost_Assumptions!$C$2:$C$12))*_xlfn.SINGLE(_xlfn.XLOOKUP("Air freight rate",Cost_Assumptions!$B$2:$B$12,Cost_Assumptions!$C$2:$C$12))</f>
        <v>74374.2</v>
      </c>
      <c r="G3" s="20">
        <f>_xlfn.SINGLE(_xlfn.XLOOKUP("Urgent air share for split option",Cost_Assumptions!$B$2:$B$12,Cost_Assumptions!$C$2:$C$12))</f>
        <v>0.4</v>
      </c>
      <c r="H3" s="20">
        <f>B3*G3*_xlfn.SINGLE(_xlfn.XLOOKUP("Product A weight",Cost_Assumptions!$B$2:$B$12,Cost_Assumptions!$C$2:$C$12))*_xlfn.SINGLE(_xlfn.XLOOKUP("Air freight rate",Cost_Assumptions!$B$2:$B$12,Cost_Assumptions!$C$2:$C$12))</f>
        <v>29749.680000000004</v>
      </c>
      <c r="I3" s="20">
        <f>E3*(1-G3)</f>
        <v>3024</v>
      </c>
      <c r="J3" s="20">
        <f>H3+I3</f>
        <v>32773.680000000008</v>
      </c>
      <c r="K3" s="20" t="str">
        <f>_xlfn.SINGLE(_xlfn.XLOOKUP(A3,Disruption_Simulation!$A$4:$A$12,Disruption_Simulation!$R$4:$R$12,"Not simulated"))</f>
        <v>RED - MISSED PEAK</v>
      </c>
      <c r="L3" s="20" t="str">
        <f>IF(K3="NO TRACKED LOAD","Assign Batch / Load ID first",IF(ISNUMBER(SEARCH("MISSED",K3)),"Split shipment",IF(ISNUMBER(SEARCH("TIGHT",K3)),"Prepare split / monitor daily","Keep sea freight")))</f>
        <v>Split shipment</v>
      </c>
    </row>
    <row r="4" spans="1:12" ht="12" customHeight="1"/>
    <row r="5" spans="1:12" ht="12" customHeight="1"/>
    <row r="6" spans="1:12" ht="12" customHeight="1"/>
    <row r="7" spans="1:12" ht="12" customHeight="1"/>
    <row r="8" spans="1:12" ht="12" customHeight="1"/>
    <row r="9" spans="1:12" ht="12" customHeight="1"/>
    <row r="10" spans="1:12" ht="12" customHeight="1"/>
    <row r="11" spans="1:12" ht="12" customHeight="1"/>
    <row r="12" spans="1:12" ht="12" customHeight="1"/>
    <row r="13" spans="1:12" ht="12" customHeight="1"/>
    <row r="14" spans="1:12" ht="12" customHeight="1"/>
    <row r="15" spans="1:12" ht="12" customHeight="1"/>
    <row r="16" spans="1:1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200"/>
  <sheetViews>
    <sheetView workbookViewId="0">
      <selection activeCell="F15" sqref="F15"/>
    </sheetView>
  </sheetViews>
  <sheetFormatPr defaultRowHeight="13.8"/>
  <cols>
    <col min="1" max="1" width="14.296875" customWidth="1"/>
    <col min="2" max="2" width="29.8984375" customWidth="1"/>
    <col min="3" max="3" width="7.09765625" customWidth="1"/>
    <col min="4" max="4" width="12.3984375" customWidth="1"/>
    <col min="5" max="5" width="30" customWidth="1"/>
  </cols>
  <sheetData>
    <row r="1" spans="1:33" ht="12" customHeight="1">
      <c r="A1" s="15" t="s">
        <v>108</v>
      </c>
      <c r="B1" s="15" t="s">
        <v>109</v>
      </c>
      <c r="C1" s="15" t="s">
        <v>110</v>
      </c>
      <c r="D1" s="15" t="s">
        <v>111</v>
      </c>
      <c r="E1" s="15" t="s">
        <v>40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" customHeight="1">
      <c r="A2" s="16" t="s">
        <v>112</v>
      </c>
      <c r="B2" s="17" t="s">
        <v>113</v>
      </c>
      <c r="C2" s="16">
        <v>4.5</v>
      </c>
      <c r="D2" s="16" t="s">
        <v>114</v>
      </c>
      <c r="E2" s="16" t="s">
        <v>115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" customHeight="1">
      <c r="A3" s="16" t="s">
        <v>116</v>
      </c>
      <c r="B3" s="17" t="s">
        <v>117</v>
      </c>
      <c r="C3" s="16">
        <v>1.2</v>
      </c>
      <c r="D3" s="16" t="s">
        <v>118</v>
      </c>
      <c r="E3" s="16" t="s">
        <v>115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2" customHeight="1">
      <c r="A4" s="16" t="s">
        <v>119</v>
      </c>
      <c r="B4" s="18" t="s">
        <v>120</v>
      </c>
      <c r="C4" s="16">
        <f>_xlfn.XLOOKUP(TRUE,Scenario_Config!$C$2:$C$3,Scenario_Config!$F$2:$F$3,0)</f>
        <v>0.2</v>
      </c>
      <c r="D4" s="16" t="s">
        <v>121</v>
      </c>
      <c r="E4" s="16" t="s">
        <v>122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6" t="s">
        <v>123</v>
      </c>
      <c r="B5" s="18" t="s">
        <v>124</v>
      </c>
      <c r="C5" s="16">
        <v>0.4</v>
      </c>
      <c r="D5" s="16" t="s">
        <v>125</v>
      </c>
      <c r="E5" s="16" t="s">
        <v>126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" customHeight="1">
      <c r="A6" s="16" t="s">
        <v>127</v>
      </c>
      <c r="B6" s="17" t="s">
        <v>128</v>
      </c>
      <c r="C6" s="16">
        <v>0.6</v>
      </c>
      <c r="D6" s="16" t="s">
        <v>125</v>
      </c>
      <c r="E6" s="16" t="s">
        <v>129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" customHeight="1">
      <c r="A7" s="16" t="s">
        <v>130</v>
      </c>
      <c r="B7" s="17" t="s">
        <v>131</v>
      </c>
      <c r="C7" s="16">
        <v>1</v>
      </c>
      <c r="D7" s="16" t="s">
        <v>132</v>
      </c>
      <c r="E7" s="16" t="s">
        <v>133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" customHeight="1">
      <c r="A8" s="16" t="s">
        <v>134</v>
      </c>
      <c r="B8" s="18" t="s">
        <v>135</v>
      </c>
      <c r="C8" s="16">
        <v>0.95</v>
      </c>
      <c r="D8" s="16" t="s">
        <v>121</v>
      </c>
      <c r="E8" s="16" t="s">
        <v>136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" customHeight="1">
      <c r="A9" s="16" t="s">
        <v>137</v>
      </c>
      <c r="B9" s="18" t="s">
        <v>138</v>
      </c>
      <c r="C9" s="16">
        <v>0.98</v>
      </c>
      <c r="D9" s="16" t="s">
        <v>121</v>
      </c>
      <c r="E9" s="16" t="s">
        <v>139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" customHeight="1">
      <c r="A10" s="16" t="s">
        <v>140</v>
      </c>
      <c r="B10" s="16" t="s">
        <v>141</v>
      </c>
      <c r="C10" s="16">
        <v>5200</v>
      </c>
      <c r="D10" s="16" t="s">
        <v>142</v>
      </c>
      <c r="E10" s="16" t="s">
        <v>143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" customHeight="1">
      <c r="A11" s="16" t="s">
        <v>144</v>
      </c>
      <c r="B11" s="16" t="s">
        <v>145</v>
      </c>
      <c r="C11" s="16">
        <v>4200</v>
      </c>
      <c r="D11" s="16" t="s">
        <v>142</v>
      </c>
      <c r="E11" s="16" t="s">
        <v>143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" customHeight="1">
      <c r="A12" s="16" t="s">
        <v>146</v>
      </c>
      <c r="B12" s="16" t="s">
        <v>147</v>
      </c>
      <c r="C12" s="16">
        <v>35</v>
      </c>
      <c r="D12" s="16" t="s">
        <v>148</v>
      </c>
      <c r="E12" s="16" t="s">
        <v>143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BB9B-D95E-43FB-B40E-B7B8CE3941A1}">
  <dimension ref="A1:C10"/>
  <sheetViews>
    <sheetView workbookViewId="0">
      <selection activeCell="F13" sqref="F13"/>
    </sheetView>
  </sheetViews>
  <sheetFormatPr defaultRowHeight="13.8"/>
  <cols>
    <col min="1" max="1" width="8.5" customWidth="1"/>
    <col min="2" max="2" width="11.796875" customWidth="1"/>
    <col min="3" max="3" width="13.69921875" bestFit="1" customWidth="1"/>
  </cols>
  <sheetData>
    <row r="1" spans="1:3">
      <c r="A1" s="88" t="s">
        <v>31</v>
      </c>
      <c r="B1" s="90" t="s">
        <v>36</v>
      </c>
      <c r="C1" s="90" t="s">
        <v>301</v>
      </c>
    </row>
    <row r="2" spans="1:3">
      <c r="A2" s="87" t="s">
        <v>42</v>
      </c>
      <c r="B2" s="89">
        <v>40</v>
      </c>
      <c r="C2" s="89">
        <v>5200</v>
      </c>
    </row>
    <row r="3" spans="1:3">
      <c r="A3" s="87" t="s">
        <v>42</v>
      </c>
      <c r="B3" s="89">
        <v>20</v>
      </c>
      <c r="C3" s="89">
        <v>3000</v>
      </c>
    </row>
    <row r="4" spans="1:3">
      <c r="A4" s="87" t="s">
        <v>42</v>
      </c>
      <c r="B4" s="89" t="s">
        <v>49</v>
      </c>
      <c r="C4" s="89">
        <v>200</v>
      </c>
    </row>
    <row r="5" spans="1:3">
      <c r="A5" s="87" t="s">
        <v>51</v>
      </c>
      <c r="B5" s="89">
        <v>40</v>
      </c>
      <c r="C5" s="89">
        <v>4200</v>
      </c>
    </row>
    <row r="6" spans="1:3">
      <c r="A6" s="87" t="s">
        <v>51</v>
      </c>
      <c r="B6" s="89">
        <v>20</v>
      </c>
      <c r="C6" s="89">
        <v>2500</v>
      </c>
    </row>
    <row r="7" spans="1:3">
      <c r="A7" s="87" t="s">
        <v>51</v>
      </c>
      <c r="B7" s="89" t="s">
        <v>49</v>
      </c>
      <c r="C7" s="89">
        <v>70</v>
      </c>
    </row>
    <row r="8" spans="1:3">
      <c r="A8" s="87" t="s">
        <v>57</v>
      </c>
      <c r="B8" s="89">
        <v>40</v>
      </c>
      <c r="C8" s="89">
        <v>2000</v>
      </c>
    </row>
    <row r="9" spans="1:3">
      <c r="A9" s="87" t="s">
        <v>57</v>
      </c>
      <c r="B9" s="89">
        <v>20</v>
      </c>
      <c r="C9" s="89">
        <v>1100</v>
      </c>
    </row>
    <row r="10" spans="1:3">
      <c r="A10" s="87" t="s">
        <v>57</v>
      </c>
      <c r="B10" s="89" t="s">
        <v>49</v>
      </c>
      <c r="C10" s="89">
        <v>35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7A2E-F9B6-4470-9FAB-CBA97641599C}">
  <dimension ref="A1:D13"/>
  <sheetViews>
    <sheetView workbookViewId="0">
      <selection activeCell="G15" sqref="G15"/>
    </sheetView>
  </sheetViews>
  <sheetFormatPr defaultRowHeight="13.8"/>
  <cols>
    <col min="1" max="1" width="16.59765625" customWidth="1"/>
    <col min="2" max="2" width="21" customWidth="1"/>
    <col min="3" max="3" width="18.69921875" customWidth="1"/>
    <col min="4" max="4" width="19.5" customWidth="1"/>
  </cols>
  <sheetData>
    <row r="1" spans="1:4">
      <c r="A1" s="88" t="s">
        <v>31</v>
      </c>
      <c r="B1" s="88" t="s">
        <v>62</v>
      </c>
      <c r="C1" s="90" t="s">
        <v>36</v>
      </c>
      <c r="D1" s="90" t="s">
        <v>97</v>
      </c>
    </row>
    <row r="2" spans="1:4">
      <c r="A2" s="91" t="s">
        <v>42</v>
      </c>
      <c r="B2" s="91" t="s">
        <v>43</v>
      </c>
      <c r="C2" s="92">
        <v>40</v>
      </c>
      <c r="D2" s="92">
        <v>50</v>
      </c>
    </row>
    <row r="3" spans="1:4">
      <c r="A3" s="91" t="s">
        <v>42</v>
      </c>
      <c r="B3" s="91" t="s">
        <v>47</v>
      </c>
      <c r="C3" s="92">
        <v>40</v>
      </c>
      <c r="D3" s="92">
        <v>50</v>
      </c>
    </row>
    <row r="4" spans="1:4">
      <c r="A4" s="91" t="s">
        <v>42</v>
      </c>
      <c r="B4" s="91" t="s">
        <v>43</v>
      </c>
      <c r="C4" s="92">
        <v>20</v>
      </c>
      <c r="D4" s="92">
        <v>50</v>
      </c>
    </row>
    <row r="5" spans="1:4">
      <c r="A5" s="91" t="s">
        <v>42</v>
      </c>
      <c r="B5" s="91" t="s">
        <v>47</v>
      </c>
      <c r="C5" s="92">
        <v>20</v>
      </c>
      <c r="D5" s="92">
        <v>50</v>
      </c>
    </row>
    <row r="6" spans="1:4">
      <c r="A6" s="91" t="s">
        <v>42</v>
      </c>
      <c r="B6" s="91" t="s">
        <v>43</v>
      </c>
      <c r="C6" s="92" t="s">
        <v>49</v>
      </c>
      <c r="D6" s="92">
        <v>55</v>
      </c>
    </row>
    <row r="7" spans="1:4">
      <c r="A7" s="91" t="s">
        <v>42</v>
      </c>
      <c r="B7" s="91" t="s">
        <v>47</v>
      </c>
      <c r="C7" s="92" t="s">
        <v>49</v>
      </c>
      <c r="D7" s="92">
        <v>55</v>
      </c>
    </row>
    <row r="8" spans="1:4">
      <c r="A8" s="91" t="s">
        <v>51</v>
      </c>
      <c r="B8" s="91" t="s">
        <v>52</v>
      </c>
      <c r="C8" s="92">
        <v>40</v>
      </c>
      <c r="D8" s="92">
        <v>40</v>
      </c>
    </row>
    <row r="9" spans="1:4">
      <c r="A9" s="91" t="s">
        <v>51</v>
      </c>
      <c r="B9" s="91" t="s">
        <v>52</v>
      </c>
      <c r="C9" s="92">
        <v>20</v>
      </c>
      <c r="D9" s="92">
        <v>40</v>
      </c>
    </row>
    <row r="10" spans="1:4">
      <c r="A10" s="91" t="s">
        <v>51</v>
      </c>
      <c r="B10" s="91" t="s">
        <v>52</v>
      </c>
      <c r="C10" s="92" t="s">
        <v>49</v>
      </c>
      <c r="D10" s="92">
        <v>45</v>
      </c>
    </row>
    <row r="11" spans="1:4">
      <c r="A11" s="91" t="s">
        <v>57</v>
      </c>
      <c r="B11" s="91" t="s">
        <v>59</v>
      </c>
      <c r="C11" s="92">
        <v>40</v>
      </c>
      <c r="D11" s="92">
        <v>30</v>
      </c>
    </row>
    <row r="12" spans="1:4">
      <c r="A12" s="91" t="s">
        <v>57</v>
      </c>
      <c r="B12" s="91" t="s">
        <v>59</v>
      </c>
      <c r="C12" s="92">
        <v>20</v>
      </c>
      <c r="D12" s="92">
        <v>30</v>
      </c>
    </row>
    <row r="13" spans="1:4">
      <c r="A13" s="91" t="s">
        <v>57</v>
      </c>
      <c r="B13" s="91" t="s">
        <v>59</v>
      </c>
      <c r="C13" s="92" t="s">
        <v>49</v>
      </c>
      <c r="D13" s="92">
        <v>30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821F-D474-4272-AAB2-AFEDE18579DC}">
  <dimension ref="A1:E4"/>
  <sheetViews>
    <sheetView workbookViewId="0">
      <selection activeCell="D5" sqref="D5"/>
    </sheetView>
  </sheetViews>
  <sheetFormatPr defaultRowHeight="13.8"/>
  <cols>
    <col min="2" max="2" width="10.59765625" customWidth="1"/>
    <col min="3" max="3" width="9.8984375" customWidth="1"/>
    <col min="4" max="4" width="10.59765625" customWidth="1"/>
    <col min="5" max="5" width="9.8984375" bestFit="1" customWidth="1"/>
  </cols>
  <sheetData>
    <row r="1" spans="1:5">
      <c r="A1" s="97" t="s">
        <v>31</v>
      </c>
      <c r="B1" s="97" t="s">
        <v>295</v>
      </c>
      <c r="C1" s="97" t="s">
        <v>296</v>
      </c>
      <c r="D1" s="97" t="s">
        <v>297</v>
      </c>
      <c r="E1" s="97" t="s">
        <v>298</v>
      </c>
    </row>
    <row r="2" spans="1:5">
      <c r="A2" s="91" t="s">
        <v>42</v>
      </c>
      <c r="B2" s="98">
        <v>46235</v>
      </c>
      <c r="C2" s="98">
        <v>46265</v>
      </c>
      <c r="D2" s="98">
        <v>46296</v>
      </c>
      <c r="E2" s="98">
        <v>46387</v>
      </c>
    </row>
    <row r="3" spans="1:5">
      <c r="A3" s="91" t="s">
        <v>51</v>
      </c>
      <c r="B3" s="98">
        <v>46082</v>
      </c>
      <c r="C3" s="98">
        <v>46142</v>
      </c>
      <c r="D3" s="98">
        <v>46327</v>
      </c>
      <c r="E3" s="98">
        <v>46387</v>
      </c>
    </row>
    <row r="4" spans="1:5">
      <c r="A4" s="91" t="s">
        <v>57</v>
      </c>
      <c r="B4" s="98">
        <v>46204</v>
      </c>
      <c r="C4" s="98">
        <v>46234</v>
      </c>
      <c r="D4" s="98">
        <v>46327</v>
      </c>
      <c r="E4" s="98">
        <v>46387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200"/>
  <sheetViews>
    <sheetView workbookViewId="0">
      <selection activeCell="H4" sqref="H4"/>
    </sheetView>
  </sheetViews>
  <sheetFormatPr defaultRowHeight="13.8"/>
  <cols>
    <col min="1" max="1" width="8.19921875" bestFit="1" customWidth="1"/>
    <col min="2" max="2" width="6.19921875" bestFit="1" customWidth="1"/>
    <col min="3" max="3" width="18.09765625" bestFit="1" customWidth="1"/>
    <col min="4" max="4" width="20" bestFit="1" customWidth="1"/>
    <col min="5" max="5" width="18.69921875" bestFit="1" customWidth="1"/>
    <col min="6" max="6" width="18.19921875" bestFit="1" customWidth="1"/>
    <col min="7" max="7" width="21.19921875" bestFit="1" customWidth="1"/>
    <col min="8" max="8" width="20.5" bestFit="1" customWidth="1"/>
    <col min="9" max="9" width="21.3984375" bestFit="1" customWidth="1"/>
    <col min="10" max="10" width="6.09765625" bestFit="1" customWidth="1"/>
    <col min="11" max="11" width="21" customWidth="1"/>
  </cols>
  <sheetData>
    <row r="1" spans="1:33" ht="12" customHeight="1">
      <c r="A1" s="31" t="s">
        <v>62</v>
      </c>
      <c r="B1" s="31" t="s">
        <v>31</v>
      </c>
      <c r="C1" s="31" t="s">
        <v>149</v>
      </c>
      <c r="D1" s="31" t="s">
        <v>150</v>
      </c>
      <c r="E1" s="31" t="s">
        <v>151</v>
      </c>
      <c r="F1" s="31" t="s">
        <v>152</v>
      </c>
      <c r="G1" s="31" t="s">
        <v>153</v>
      </c>
      <c r="H1" s="31" t="s">
        <v>154</v>
      </c>
      <c r="I1" s="31" t="s">
        <v>155</v>
      </c>
      <c r="J1" s="31" t="s">
        <v>106</v>
      </c>
      <c r="K1" s="31" t="s">
        <v>156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" customHeight="1">
      <c r="A2" s="16" t="s">
        <v>43</v>
      </c>
      <c r="B2" s="16" t="s">
        <v>42</v>
      </c>
      <c r="C2" s="21">
        <v>500</v>
      </c>
      <c r="D2" s="22">
        <v>18</v>
      </c>
      <c r="E2" s="21">
        <f>SUMIFS(Pipeline_Source!$C:$C,Pipeline_Source!$E:$E,$A2)</f>
        <v>79220</v>
      </c>
      <c r="F2" s="21">
        <f>SUMIFS(Pipeline_Source!$T:$T,Pipeline_Source!$E:$E,$A2)</f>
        <v>158.40968799999999</v>
      </c>
      <c r="G2" s="17">
        <f>tblDCInventory[[#This Row],[Planned Inbound Units]]/12</f>
        <v>6601.666666666667</v>
      </c>
      <c r="H2" s="16">
        <v>10123</v>
      </c>
      <c r="I2" s="16">
        <f>IFERROR(H2/G2,"")</f>
        <v>1.533400656399899</v>
      </c>
      <c r="J2" s="16" t="str">
        <f>IF(I2&lt;1,"RED","GREEN")</f>
        <v>GREEN</v>
      </c>
      <c r="K2" s="16" t="str">
        <f>IF(J2="RED","Below 1-week safety buffer","Normal")</f>
        <v>Normal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" customHeight="1">
      <c r="A3" s="16" t="s">
        <v>47</v>
      </c>
      <c r="B3" s="16" t="s">
        <v>42</v>
      </c>
      <c r="C3" s="21">
        <v>400</v>
      </c>
      <c r="D3" s="22">
        <v>20</v>
      </c>
      <c r="E3" s="21">
        <f>SUMIFS(Pipeline_Source!$C:$C,Pipeline_Source!$E:$E,$A3)</f>
        <v>91996</v>
      </c>
      <c r="F3" s="21">
        <f>SUMIFS(Pipeline_Source!$T:$T,Pipeline_Source!$E:$E,$A3)</f>
        <v>186.367189</v>
      </c>
      <c r="G3" s="17">
        <f>tblDCInventory[[#This Row],[Planned Inbound Units]]/12</f>
        <v>7666.333333333333</v>
      </c>
      <c r="H3" s="16">
        <v>4428</v>
      </c>
      <c r="I3" s="16">
        <f>IFERROR(H3/G3,"")</f>
        <v>0.57759033001434845</v>
      </c>
      <c r="J3" s="16" t="str">
        <f>IF(I3&lt;1,"RED","GREEN")</f>
        <v>RED</v>
      </c>
      <c r="K3" s="16" t="str">
        <f>IF(J3="RED","Below 1-week safety buffer","Normal")</f>
        <v>Below 1-week safety buffer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2" customHeight="1">
      <c r="A4" s="16" t="s">
        <v>52</v>
      </c>
      <c r="B4" s="16" t="s">
        <v>51</v>
      </c>
      <c r="C4" s="21">
        <v>300</v>
      </c>
      <c r="D4" s="22">
        <v>22</v>
      </c>
      <c r="E4" s="21">
        <f>SUMIFS(Pipeline_Source!$C:$C,Pipeline_Source!$E:$E,$A4)</f>
        <v>62940</v>
      </c>
      <c r="F4" s="21">
        <f>SUMIFS(Pipeline_Source!$T:$T,Pipeline_Source!$E:$E,$A4)</f>
        <v>275.10374999999999</v>
      </c>
      <c r="G4" s="17">
        <f>tblDCInventory[[#This Row],[Planned Inbound Units]]/12</f>
        <v>5245</v>
      </c>
      <c r="H4" s="16">
        <v>3011</v>
      </c>
      <c r="I4" s="16">
        <f>IFERROR(H4/G4,"")</f>
        <v>0.57407054337464247</v>
      </c>
      <c r="J4" s="16" t="str">
        <f>IF(I4&lt;1,"RED","GREEN")</f>
        <v>RED</v>
      </c>
      <c r="K4" s="16" t="str">
        <f>IF(J4="RED","Below 1-week safety buffer","Normal")</f>
        <v>Below 1-week safety buffer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6" t="s">
        <v>59</v>
      </c>
      <c r="B5" s="16" t="s">
        <v>57</v>
      </c>
      <c r="C5" s="21">
        <v>200</v>
      </c>
      <c r="D5" s="22">
        <v>25</v>
      </c>
      <c r="E5" s="21">
        <f>SUMIFS(Pipeline_Source!$C:$C,Pipeline_Source!$E:$E,$A5)</f>
        <v>2200</v>
      </c>
      <c r="F5" s="21">
        <f>SUMIFS(Pipeline_Source!$T:$T,Pipeline_Source!$E:$E,$A5)</f>
        <v>6.875</v>
      </c>
      <c r="G5" s="17">
        <f>tblDCInventory[[#This Row],[Planned Inbound Units]]/12</f>
        <v>183.33333333333334</v>
      </c>
      <c r="H5" s="16">
        <v>257</v>
      </c>
      <c r="I5" s="16">
        <f>IFERROR(H5/G5,"")</f>
        <v>1.4018181818181819</v>
      </c>
      <c r="J5" s="16" t="str">
        <f>IF(I5&lt;1,"RED","GREEN")</f>
        <v>GREEN</v>
      </c>
      <c r="K5" s="16" t="str">
        <f>IF(J5="RED","Below 1-week safety buffer","Normal")</f>
        <v>Normal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200"/>
  <sheetViews>
    <sheetView workbookViewId="0">
      <selection activeCell="G2" sqref="G2"/>
    </sheetView>
  </sheetViews>
  <sheetFormatPr defaultRowHeight="13.8"/>
  <cols>
    <col min="1" max="1" width="8.59765625" customWidth="1"/>
    <col min="2" max="2" width="18.59765625" customWidth="1"/>
    <col min="3" max="3" width="24.796875" bestFit="1" customWidth="1"/>
    <col min="4" max="4" width="13.69921875" customWidth="1"/>
    <col min="5" max="5" width="22.09765625" customWidth="1"/>
    <col min="6" max="6" width="17.296875" customWidth="1"/>
    <col min="7" max="7" width="36.8984375" customWidth="1"/>
    <col min="8" max="11" width="12" customWidth="1"/>
    <col min="12" max="12" width="14.59765625" customWidth="1"/>
    <col min="13" max="13" width="11" customWidth="1"/>
    <col min="14" max="14" width="46.8984375" customWidth="1"/>
  </cols>
  <sheetData>
    <row r="1" spans="1:33" ht="12" customHeight="1">
      <c r="A1" s="15" t="s">
        <v>31</v>
      </c>
      <c r="B1" s="15" t="s">
        <v>157</v>
      </c>
      <c r="C1" s="15" t="s">
        <v>158</v>
      </c>
      <c r="D1" s="15" t="s">
        <v>159</v>
      </c>
      <c r="E1" s="15" t="s">
        <v>302</v>
      </c>
      <c r="F1" s="15" t="s">
        <v>160</v>
      </c>
      <c r="G1" s="15" t="s">
        <v>303</v>
      </c>
      <c r="H1" s="15" t="s">
        <v>162</v>
      </c>
      <c r="I1" s="15" t="s">
        <v>163</v>
      </c>
      <c r="J1" s="15" t="s">
        <v>164</v>
      </c>
      <c r="K1" s="15" t="s">
        <v>165</v>
      </c>
      <c r="L1" s="15" t="s">
        <v>166</v>
      </c>
      <c r="M1" s="15" t="s">
        <v>167</v>
      </c>
      <c r="N1" s="15" t="s">
        <v>168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" customHeight="1">
      <c r="A2" s="16" t="s">
        <v>42</v>
      </c>
      <c r="B2" s="16" t="s">
        <v>169</v>
      </c>
      <c r="C2" s="16" t="s">
        <v>170</v>
      </c>
      <c r="D2" s="22">
        <v>800</v>
      </c>
      <c r="E2" s="22">
        <v>376.76</v>
      </c>
      <c r="F2" s="22">
        <f>D2-E2</f>
        <v>423.24</v>
      </c>
      <c r="G2" s="23" t="s">
        <v>171</v>
      </c>
      <c r="H2" s="24">
        <v>0.97</v>
      </c>
      <c r="I2" s="24">
        <v>0.94</v>
      </c>
      <c r="J2" s="24">
        <v>0.92</v>
      </c>
      <c r="K2" s="24">
        <v>0.88</v>
      </c>
      <c r="L2" s="24">
        <f>AVERAGE(H2:K2)</f>
        <v>0.92749999999999999</v>
      </c>
      <c r="M2" s="16" t="str">
        <f>IF(L2&lt;_xlfn.XLOOKUP("Distributor SLA threshold",Cost_Assumptions!$B$2:$B$12,Cost_Assumptions!$C$2:$C$12),"RED","GREEN")</f>
        <v>RED</v>
      </c>
      <c r="N2" s="23" t="s">
        <v>172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" customHeight="1">
      <c r="A3" s="16" t="s">
        <v>51</v>
      </c>
      <c r="B3" s="16" t="s">
        <v>173</v>
      </c>
      <c r="C3" s="16" t="s">
        <v>174</v>
      </c>
      <c r="D3" s="22">
        <v>280</v>
      </c>
      <c r="E3" s="22">
        <v>220.67</v>
      </c>
      <c r="F3" s="22">
        <f>D3-E3</f>
        <v>59.330000000000013</v>
      </c>
      <c r="G3" s="23" t="s">
        <v>175</v>
      </c>
      <c r="H3" s="24">
        <v>0.98</v>
      </c>
      <c r="I3" s="24">
        <v>0.96</v>
      </c>
      <c r="J3" s="24">
        <v>0.95</v>
      </c>
      <c r="K3" s="24">
        <v>0.94</v>
      </c>
      <c r="L3" s="24">
        <f>AVERAGE(H3:K3)</f>
        <v>0.95749999999999991</v>
      </c>
      <c r="M3" s="16" t="str">
        <f>IF(L3&lt;_xlfn.XLOOKUP("Distributor SLA threshold",Cost_Assumptions!$B$2:$B$12,Cost_Assumptions!$C$2:$C$12),"RED","GREEN")</f>
        <v>GREEN</v>
      </c>
      <c r="N3" s="23" t="s">
        <v>176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2" customHeight="1">
      <c r="A4" s="16" t="s">
        <v>57</v>
      </c>
      <c r="B4" s="16" t="s">
        <v>177</v>
      </c>
      <c r="C4" s="16" t="s">
        <v>178</v>
      </c>
      <c r="D4" s="22">
        <v>220</v>
      </c>
      <c r="E4" s="22">
        <v>6.88</v>
      </c>
      <c r="F4" s="22">
        <f>D4-E4</f>
        <v>213.12</v>
      </c>
      <c r="G4" s="23" t="s">
        <v>179</v>
      </c>
      <c r="H4" s="24">
        <v>0.97</v>
      </c>
      <c r="I4" s="24">
        <v>0.96</v>
      </c>
      <c r="J4" s="24">
        <v>0.96</v>
      </c>
      <c r="K4" s="24">
        <v>0.95</v>
      </c>
      <c r="L4" s="24">
        <f>AVERAGE(H4:K4)</f>
        <v>0.96</v>
      </c>
      <c r="M4" s="16" t="str">
        <f>IF(L4&lt;_xlfn.XLOOKUP("Distributor SLA threshold",Cost_Assumptions!$B$2:$B$12,Cost_Assumptions!$C$2:$C$12),"RED","GREEN")</f>
        <v>GREEN</v>
      </c>
      <c r="N4" s="23" t="s">
        <v>180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200"/>
  <sheetViews>
    <sheetView workbookViewId="0">
      <selection sqref="A1:F1"/>
    </sheetView>
  </sheetViews>
  <sheetFormatPr defaultRowHeight="13.8"/>
  <cols>
    <col min="1" max="1" width="8.3984375" customWidth="1"/>
    <col min="2" max="2" width="13.3984375" customWidth="1"/>
    <col min="3" max="3" width="45.69921875" customWidth="1"/>
    <col min="4" max="4" width="27.59765625" customWidth="1"/>
    <col min="5" max="5" width="9.09765625" customWidth="1"/>
    <col min="6" max="6" width="16.59765625" customWidth="1"/>
  </cols>
  <sheetData>
    <row r="1" spans="1:33" ht="12" customHeight="1">
      <c r="A1" s="31" t="s">
        <v>181</v>
      </c>
      <c r="B1" s="31" t="s">
        <v>182</v>
      </c>
      <c r="C1" s="31" t="s">
        <v>183</v>
      </c>
      <c r="D1" s="31" t="s">
        <v>184</v>
      </c>
      <c r="E1" s="31" t="s">
        <v>185</v>
      </c>
      <c r="F1" s="31" t="s">
        <v>186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" customHeight="1">
      <c r="A2" s="16" t="s">
        <v>187</v>
      </c>
      <c r="B2" s="16" t="s">
        <v>188</v>
      </c>
      <c r="C2" s="23" t="s">
        <v>189</v>
      </c>
      <c r="D2" s="23" t="s">
        <v>190</v>
      </c>
      <c r="E2" s="16" t="s">
        <v>71</v>
      </c>
      <c r="F2" s="16" t="s">
        <v>105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" customHeight="1">
      <c r="A3" s="16" t="s">
        <v>191</v>
      </c>
      <c r="B3" s="16" t="s">
        <v>192</v>
      </c>
      <c r="C3" s="23" t="s">
        <v>193</v>
      </c>
      <c r="D3" s="23" t="s">
        <v>194</v>
      </c>
      <c r="E3" s="16" t="s">
        <v>71</v>
      </c>
      <c r="F3" s="16" t="s">
        <v>195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2" customHeight="1">
      <c r="A4" s="16" t="s">
        <v>196</v>
      </c>
      <c r="B4" s="16" t="s">
        <v>197</v>
      </c>
      <c r="C4" s="23" t="s">
        <v>198</v>
      </c>
      <c r="D4" s="23" t="s">
        <v>199</v>
      </c>
      <c r="E4" s="16" t="s">
        <v>71</v>
      </c>
      <c r="F4" s="16" t="s">
        <v>200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6" t="s">
        <v>201</v>
      </c>
      <c r="B5" s="16" t="s">
        <v>202</v>
      </c>
      <c r="C5" s="23" t="s">
        <v>203</v>
      </c>
      <c r="D5" s="23" t="s">
        <v>204</v>
      </c>
      <c r="E5" s="16" t="s">
        <v>71</v>
      </c>
      <c r="F5" s="16" t="s">
        <v>167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" customHeight="1">
      <c r="A6" s="16" t="s">
        <v>205</v>
      </c>
      <c r="B6" s="16" t="s">
        <v>206</v>
      </c>
      <c r="C6" s="23" t="s">
        <v>207</v>
      </c>
      <c r="D6" s="23" t="s">
        <v>208</v>
      </c>
      <c r="E6" s="16" t="s">
        <v>209</v>
      </c>
      <c r="F6" s="16" t="s">
        <v>210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" customHeight="1">
      <c r="A7" s="16" t="s">
        <v>211</v>
      </c>
      <c r="B7" s="16" t="s">
        <v>212</v>
      </c>
      <c r="C7" s="23" t="s">
        <v>213</v>
      </c>
      <c r="D7" s="23" t="s">
        <v>214</v>
      </c>
      <c r="E7" s="16" t="s">
        <v>215</v>
      </c>
      <c r="F7" s="16" t="s">
        <v>216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200"/>
  <sheetViews>
    <sheetView workbookViewId="0">
      <selection activeCell="D1" sqref="A1:D1"/>
    </sheetView>
  </sheetViews>
  <sheetFormatPr defaultRowHeight="13.8"/>
  <cols>
    <col min="1" max="1" width="10" customWidth="1"/>
    <col min="2" max="2" width="22.296875" customWidth="1"/>
    <col min="3" max="3" width="44.59765625" customWidth="1"/>
    <col min="4" max="4" width="25" customWidth="1"/>
  </cols>
  <sheetData>
    <row r="1" spans="1:33" ht="12" customHeight="1">
      <c r="A1" s="31" t="s">
        <v>217</v>
      </c>
      <c r="B1" s="31" t="s">
        <v>218</v>
      </c>
      <c r="C1" s="31" t="s">
        <v>107</v>
      </c>
      <c r="D1" s="31" t="s">
        <v>219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" customHeight="1">
      <c r="A2" s="16" t="s">
        <v>220</v>
      </c>
      <c r="B2" s="23" t="s">
        <v>221</v>
      </c>
      <c r="C2" s="23" t="s">
        <v>222</v>
      </c>
      <c r="D2" s="16" t="s">
        <v>223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12" customHeight="1">
      <c r="A3" s="16" t="s">
        <v>224</v>
      </c>
      <c r="B3" s="23" t="s">
        <v>225</v>
      </c>
      <c r="C3" s="23" t="s">
        <v>226</v>
      </c>
      <c r="D3" s="16" t="s">
        <v>223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ht="12" customHeight="1">
      <c r="A4" s="16" t="s">
        <v>227</v>
      </c>
      <c r="B4" s="23" t="s">
        <v>228</v>
      </c>
      <c r="C4" s="23" t="s">
        <v>229</v>
      </c>
      <c r="D4" s="16" t="s">
        <v>223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ht="12" customHeight="1">
      <c r="A5" s="16" t="s">
        <v>230</v>
      </c>
      <c r="B5" s="23" t="s">
        <v>231</v>
      </c>
      <c r="C5" s="23" t="s">
        <v>232</v>
      </c>
      <c r="D5" s="16" t="s">
        <v>223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ht="12" customHeight="1">
      <c r="A6" s="16" t="s">
        <v>233</v>
      </c>
      <c r="B6" s="23" t="s">
        <v>234</v>
      </c>
      <c r="C6" s="23" t="s">
        <v>235</v>
      </c>
      <c r="D6" s="16" t="s">
        <v>236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ht="12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ht="12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ht="12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ht="12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ht="12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ht="12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ht="12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ht="12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ht="12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ht="12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ht="12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ht="12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ht="12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ht="12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ht="12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ht="12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ht="12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ht="12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ht="12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ht="12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ht="12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ht="12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ht="12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ht="12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ht="12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spans="1:33" ht="12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spans="1:33" ht="12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spans="1:33" ht="12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spans="1:33" ht="12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3" ht="12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spans="1:33" ht="12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spans="1:33" ht="12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spans="1:33" ht="12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1:33" ht="12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1:33" ht="12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spans="1:33" ht="12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ht="1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ht="12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spans="1:33" ht="12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spans="1:33" ht="12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spans="1:33" ht="12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spans="1:33" ht="12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spans="1:33" ht="12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ht="12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spans="1:33" ht="12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spans="1:33" ht="12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spans="1:33" ht="12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spans="1:33" ht="12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spans="1:33" ht="12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1:33" ht="12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1:33" ht="12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spans="1:33" ht="12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spans="1:33" ht="12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spans="1:33" ht="12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spans="1:33" ht="12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spans="1:33" ht="12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1:33" ht="12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spans="1:33" ht="12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spans="1:33" ht="12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spans="1:33" ht="12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spans="1:33" ht="12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1:33" ht="12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spans="1:33" ht="12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spans="1:33" ht="12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spans="1:33" ht="12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spans="1:33" ht="12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spans="1:33" ht="12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spans="1:33" ht="12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spans="1:33" ht="12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spans="1:33" ht="12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spans="1:33" ht="12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spans="1:33" ht="12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spans="1:33" ht="12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spans="1:33" ht="12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spans="1:3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spans="1:3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1:3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spans="1:3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spans="1:3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spans="1:3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spans="1:3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spans="1:3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spans="1:3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spans="1:3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1:3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spans="1:3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spans="1:3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spans="1:3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spans="1:3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1:3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spans="1:3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spans="1:3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spans="1:3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spans="1:3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spans="1:3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spans="1:3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spans="1:3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spans="1:3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spans="1:3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spans="1:3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spans="1:3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spans="1:3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spans="1:3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spans="1:3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spans="1:3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spans="1:3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spans="1:3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spans="1:3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spans="1:3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spans="1:3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spans="1:3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spans="1:3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spans="1:3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spans="1:3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spans="1:3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spans="1:3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spans="1:3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spans="1:3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spans="1:3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spans="1:3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spans="1:3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spans="1:3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spans="1:3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spans="1: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spans="1:3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spans="1:3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spans="1:3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spans="1:3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spans="1:3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spans="1:3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spans="1:3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spans="1:3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 spans="1:3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 spans="1:3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 spans="1:3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 spans="1:3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 spans="1:3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spans="1:3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 spans="1:3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 spans="1:3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 spans="1:3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 spans="1:3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 spans="1:3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 spans="1:3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 spans="1:3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 spans="1:3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 spans="1:3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 spans="1:3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 spans="1:3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 spans="1:3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 spans="1:3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spans="1:3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spans="1:3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spans="1:3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spans="1:3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spans="1:3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spans="1:3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spans="1:3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spans="1:3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spans="1:3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spans="1:3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spans="1:3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spans="1:3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spans="1:3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spans="1:3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spans="1:3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spans="1:3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spans="1:3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spans="1:3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spans="1:3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spans="1:3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spans="1:3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spans="1:3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spans="1:3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spans="1:3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spans="1:3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spans="1:3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spans="1:3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spans="1:3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spans="1:3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80"/>
  <sheetViews>
    <sheetView topLeftCell="E1" workbookViewId="0">
      <selection activeCell="G2" sqref="G2"/>
    </sheetView>
  </sheetViews>
  <sheetFormatPr defaultRowHeight="13.8"/>
  <cols>
    <col min="1" max="1" width="13" style="43" customWidth="1"/>
    <col min="2" max="2" width="6.59765625" style="43" bestFit="1" customWidth="1"/>
    <col min="3" max="3" width="7.296875" style="43" customWidth="1"/>
    <col min="4" max="4" width="20.59765625" style="43" customWidth="1"/>
    <col min="5" max="5" width="12.5" style="43" bestFit="1" customWidth="1"/>
    <col min="6" max="6" width="20.59765625" style="43" bestFit="1" customWidth="1"/>
    <col min="7" max="7" width="23.09765625" style="43" bestFit="1" customWidth="1"/>
    <col min="8" max="8" width="16.3984375" style="43" bestFit="1" customWidth="1"/>
    <col min="9" max="9" width="42" style="43" bestFit="1" customWidth="1"/>
    <col min="10" max="10" width="30.69921875" style="43" bestFit="1" customWidth="1"/>
    <col min="11" max="16384" width="8.796875" style="43"/>
  </cols>
  <sheetData>
    <row r="1" spans="1:10">
      <c r="A1" s="45" t="s">
        <v>246</v>
      </c>
      <c r="B1" s="45" t="s">
        <v>31</v>
      </c>
      <c r="C1" s="45" t="s">
        <v>247</v>
      </c>
      <c r="D1" s="45" t="s">
        <v>248</v>
      </c>
      <c r="E1" s="45" t="s">
        <v>159</v>
      </c>
      <c r="F1" s="45" t="s">
        <v>249</v>
      </c>
      <c r="G1" s="45" t="s">
        <v>294</v>
      </c>
      <c r="H1" s="45" t="s">
        <v>160</v>
      </c>
      <c r="I1" s="45" t="s">
        <v>161</v>
      </c>
      <c r="J1" s="45" t="s">
        <v>250</v>
      </c>
    </row>
    <row r="2" spans="1:10" ht="12" customHeight="1">
      <c r="A2" s="42" t="s">
        <v>169</v>
      </c>
      <c r="B2" s="42" t="s">
        <v>42</v>
      </c>
      <c r="C2" s="44" t="b">
        <v>1</v>
      </c>
      <c r="D2" s="42">
        <v>120</v>
      </c>
      <c r="E2" s="42">
        <v>800</v>
      </c>
      <c r="F2" s="42">
        <v>0.97799999999999998</v>
      </c>
      <c r="G2" s="42">
        <v>376.76</v>
      </c>
      <c r="H2" s="42">
        <f>E2-G2</f>
        <v>423.24</v>
      </c>
      <c r="I2" s="42" t="s">
        <v>251</v>
      </c>
      <c r="J2" s="42" t="s">
        <v>252</v>
      </c>
    </row>
    <row r="3" spans="1:10" ht="12" customHeight="1">
      <c r="A3" s="42" t="s">
        <v>170</v>
      </c>
      <c r="B3" s="42" t="s">
        <v>42</v>
      </c>
      <c r="C3" s="44" t="b">
        <v>0</v>
      </c>
      <c r="D3" s="42">
        <v>88</v>
      </c>
      <c r="E3" s="42">
        <v>600</v>
      </c>
      <c r="F3" s="42">
        <v>0.96299999999999997</v>
      </c>
      <c r="G3" s="42">
        <v>376.76</v>
      </c>
      <c r="H3" s="42">
        <f>E3-G3</f>
        <v>223.24</v>
      </c>
      <c r="I3" s="42" t="s">
        <v>253</v>
      </c>
      <c r="J3" s="42" t="s">
        <v>254</v>
      </c>
    </row>
    <row r="4" spans="1:10" ht="12" customHeight="1">
      <c r="A4" s="42" t="s">
        <v>173</v>
      </c>
      <c r="B4" s="42" t="s">
        <v>51</v>
      </c>
      <c r="C4" s="44" t="b">
        <v>1</v>
      </c>
      <c r="D4" s="42">
        <v>42</v>
      </c>
      <c r="E4" s="42">
        <v>280</v>
      </c>
      <c r="F4" s="42">
        <v>0.98199999999999998</v>
      </c>
      <c r="G4" s="42">
        <v>220.67</v>
      </c>
      <c r="H4" s="42">
        <f>E4-G4</f>
        <v>59.330000000000013</v>
      </c>
      <c r="I4" s="42" t="s">
        <v>255</v>
      </c>
      <c r="J4" s="42" t="s">
        <v>256</v>
      </c>
    </row>
    <row r="5" spans="1:10" ht="12" customHeight="1">
      <c r="A5" s="42" t="s">
        <v>174</v>
      </c>
      <c r="B5" s="42" t="s">
        <v>51</v>
      </c>
      <c r="C5" s="44" t="b">
        <v>0</v>
      </c>
      <c r="D5" s="42">
        <v>28</v>
      </c>
      <c r="E5" s="42">
        <v>180</v>
      </c>
      <c r="F5" s="42">
        <v>0.91500000000000004</v>
      </c>
      <c r="G5" s="42">
        <v>220.67</v>
      </c>
      <c r="H5" s="42">
        <f>E5-G5</f>
        <v>-40.669999999999987</v>
      </c>
      <c r="I5" s="42" t="s">
        <v>257</v>
      </c>
      <c r="J5" s="42" t="s">
        <v>258</v>
      </c>
    </row>
    <row r="6" spans="1:10" ht="12" customHeight="1">
      <c r="A6" s="42" t="s">
        <v>177</v>
      </c>
      <c r="B6" s="42" t="s">
        <v>57</v>
      </c>
      <c r="C6" s="44" t="b">
        <v>1</v>
      </c>
      <c r="D6" s="42">
        <v>31</v>
      </c>
      <c r="E6" s="42">
        <v>220</v>
      </c>
      <c r="F6" s="42">
        <v>0.96799999999999997</v>
      </c>
      <c r="G6" s="42">
        <v>6.88</v>
      </c>
      <c r="H6" s="42">
        <f>E6-G6</f>
        <v>213.12</v>
      </c>
      <c r="I6" s="42" t="s">
        <v>259</v>
      </c>
      <c r="J6" s="42" t="s">
        <v>260</v>
      </c>
    </row>
    <row r="7" spans="1:10" ht="12" customHeight="1"/>
    <row r="8" spans="1:10" ht="12" customHeight="1"/>
    <row r="9" spans="1:10" ht="12" customHeight="1"/>
    <row r="10" spans="1:10" ht="12" customHeight="1"/>
    <row r="11" spans="1:10" ht="12" customHeight="1"/>
    <row r="12" spans="1:10" ht="12" customHeight="1"/>
    <row r="13" spans="1:10" ht="12" customHeight="1"/>
    <row r="14" spans="1:10" ht="12" customHeight="1"/>
    <row r="15" spans="1:10" ht="12" customHeight="1"/>
    <row r="16" spans="1:10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0"/>
  <sheetViews>
    <sheetView workbookViewId="0">
      <selection activeCell="D17" sqref="D17"/>
    </sheetView>
  </sheetViews>
  <sheetFormatPr defaultRowHeight="13.8"/>
  <cols>
    <col min="1" max="1" width="22.19921875" bestFit="1" customWidth="1"/>
    <col min="2" max="2" width="16.69921875" customWidth="1"/>
    <col min="3" max="3" width="31.3984375" customWidth="1"/>
    <col min="4" max="4" width="37.09765625" customWidth="1"/>
    <col min="5" max="5" width="36.296875" customWidth="1"/>
    <col min="6" max="6" width="53.09765625" customWidth="1"/>
  </cols>
  <sheetData>
    <row r="1" spans="1:6">
      <c r="A1" s="41" t="s">
        <v>31</v>
      </c>
      <c r="B1" s="41" t="s">
        <v>261</v>
      </c>
      <c r="C1" s="41" t="s">
        <v>158</v>
      </c>
      <c r="D1" s="41" t="s">
        <v>218</v>
      </c>
      <c r="E1" s="41" t="s">
        <v>262</v>
      </c>
      <c r="F1" s="41" t="s">
        <v>263</v>
      </c>
    </row>
    <row r="2" spans="1:6" ht="12" customHeight="1">
      <c r="A2" s="42" t="s">
        <v>42</v>
      </c>
      <c r="B2" s="42" t="s">
        <v>169</v>
      </c>
      <c r="C2" s="42" t="s">
        <v>170</v>
      </c>
      <c r="D2" s="42" t="s">
        <v>264</v>
      </c>
      <c r="E2" s="42" t="s">
        <v>265</v>
      </c>
      <c r="F2" s="42" t="s">
        <v>266</v>
      </c>
    </row>
    <row r="3" spans="1:6" ht="12" customHeight="1">
      <c r="A3" s="42" t="s">
        <v>51</v>
      </c>
      <c r="B3" s="42" t="s">
        <v>173</v>
      </c>
      <c r="C3" s="42" t="s">
        <v>174</v>
      </c>
      <c r="D3" s="42" t="s">
        <v>267</v>
      </c>
      <c r="E3" s="42" t="s">
        <v>268</v>
      </c>
      <c r="F3" s="42" t="s">
        <v>269</v>
      </c>
    </row>
    <row r="4" spans="1:6" ht="12" customHeight="1">
      <c r="A4" s="42" t="s">
        <v>57</v>
      </c>
      <c r="B4" s="42" t="s">
        <v>177</v>
      </c>
      <c r="C4" s="42" t="s">
        <v>270</v>
      </c>
      <c r="D4" s="42" t="s">
        <v>271</v>
      </c>
      <c r="E4" s="42" t="s">
        <v>272</v>
      </c>
      <c r="F4" s="42" t="s">
        <v>273</v>
      </c>
    </row>
    <row r="5" spans="1:6" ht="12" customHeight="1"/>
    <row r="6" spans="1:6" ht="12" customHeight="1"/>
    <row r="7" spans="1:6" ht="12" customHeight="1"/>
    <row r="8" spans="1:6" ht="12" customHeight="1">
      <c r="A8" s="32" t="s">
        <v>274</v>
      </c>
      <c r="B8" s="33" t="s">
        <v>110</v>
      </c>
      <c r="C8" s="33" t="s">
        <v>106</v>
      </c>
      <c r="D8" s="34" t="s">
        <v>275</v>
      </c>
    </row>
    <row r="9" spans="1:6" ht="12" customHeight="1">
      <c r="A9" s="35" t="s">
        <v>276</v>
      </c>
      <c r="B9" s="36">
        <v>1</v>
      </c>
      <c r="C9" s="36" t="s">
        <v>277</v>
      </c>
      <c r="D9" s="37" t="s">
        <v>278</v>
      </c>
    </row>
    <row r="10" spans="1:6" ht="12" customHeight="1">
      <c r="A10" s="35" t="s">
        <v>279</v>
      </c>
      <c r="B10" s="36">
        <v>0</v>
      </c>
      <c r="C10" s="36" t="s">
        <v>277</v>
      </c>
      <c r="D10" s="37" t="s">
        <v>280</v>
      </c>
    </row>
    <row r="11" spans="1:6" ht="12" customHeight="1">
      <c r="A11" s="35" t="s">
        <v>281</v>
      </c>
      <c r="B11" s="36">
        <v>0</v>
      </c>
      <c r="C11" s="36" t="s">
        <v>277</v>
      </c>
      <c r="D11" s="37" t="s">
        <v>282</v>
      </c>
    </row>
    <row r="12" spans="1:6" ht="12" customHeight="1">
      <c r="A12" s="35" t="s">
        <v>283</v>
      </c>
      <c r="B12" s="36">
        <v>3</v>
      </c>
      <c r="C12" s="36" t="s">
        <v>284</v>
      </c>
      <c r="D12" s="37" t="s">
        <v>285</v>
      </c>
    </row>
    <row r="13" spans="1:6" ht="12" customHeight="1">
      <c r="A13" s="35" t="s">
        <v>286</v>
      </c>
      <c r="B13" s="36">
        <v>2</v>
      </c>
      <c r="C13" s="36" t="s">
        <v>287</v>
      </c>
      <c r="D13" s="37" t="s">
        <v>288</v>
      </c>
    </row>
    <row r="14" spans="1:6" ht="12" customHeight="1">
      <c r="A14" s="35" t="s">
        <v>289</v>
      </c>
      <c r="B14" s="36">
        <v>1</v>
      </c>
      <c r="C14" s="36" t="s">
        <v>287</v>
      </c>
      <c r="D14" s="37" t="s">
        <v>290</v>
      </c>
    </row>
    <row r="15" spans="1:6" ht="12" customHeight="1">
      <c r="A15" s="38" t="s">
        <v>291</v>
      </c>
      <c r="B15" s="39" t="s">
        <v>292</v>
      </c>
      <c r="C15" s="39" t="s">
        <v>277</v>
      </c>
      <c r="D15" s="40" t="s">
        <v>293</v>
      </c>
    </row>
    <row r="16" spans="1:6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README</vt:lpstr>
      <vt:lpstr>Pipeline_Source</vt:lpstr>
      <vt:lpstr>Priority_Orders</vt:lpstr>
      <vt:lpstr>Scenario_Config</vt:lpstr>
      <vt:lpstr>Tracked_Pipeline_Loads</vt:lpstr>
      <vt:lpstr>Disruption_Simulation</vt:lpstr>
      <vt:lpstr>Cost_Comparison</vt:lpstr>
      <vt:lpstr>Cost_Assumptions</vt:lpstr>
      <vt:lpstr>Freight_Rate_Master</vt:lpstr>
      <vt:lpstr>Lane_LeadTime_Master</vt:lpstr>
      <vt:lpstr>Peak_Window_Master</vt:lpstr>
      <vt:lpstr>DC_Inventory_Input</vt:lpstr>
      <vt:lpstr>Distributor_Input</vt:lpstr>
      <vt:lpstr>Decision_Rules</vt:lpstr>
      <vt:lpstr>Action_Catalog</vt:lpstr>
      <vt:lpstr>Distributor_Master</vt:lpstr>
      <vt:lpstr>Backup_Distributor_Plan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HÒA Tân</dc:creator>
  <cp:lastModifiedBy>HÒA Tân</cp:lastModifiedBy>
  <dcterms:created xsi:type="dcterms:W3CDTF">2026-04-28T13:53:21Z</dcterms:created>
  <dcterms:modified xsi:type="dcterms:W3CDTF">2026-04-29T05:05:29Z</dcterms:modified>
</cp:coreProperties>
</file>